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laragon\www\cnomina\assets\docs\"/>
    </mc:Choice>
  </mc:AlternateContent>
  <xr:revisionPtr revIDLastSave="0" documentId="13_ncr:1_{1C8C6941-985F-4253-BE0B-D9E0699E0B39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7" i="1" l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T14" i="1"/>
  <c r="V14" i="1" s="1"/>
  <c r="O14" i="1"/>
  <c r="O13" i="1"/>
  <c r="O12" i="1"/>
  <c r="T11" i="1"/>
  <c r="V11" i="1" s="1"/>
  <c r="O11" i="1"/>
  <c r="O10" i="1"/>
  <c r="O9" i="1"/>
  <c r="O8" i="1"/>
  <c r="O7" i="1"/>
  <c r="O6" i="1"/>
  <c r="O5" i="1"/>
  <c r="T4" i="1"/>
  <c r="V4" i="1" s="1"/>
  <c r="O4" i="1"/>
  <c r="O3" i="1"/>
  <c r="O2" i="1"/>
  <c r="T21" i="1" l="1"/>
  <c r="V21" i="1" s="1"/>
  <c r="T19" i="1"/>
  <c r="V19" i="1" s="1"/>
  <c r="T20" i="1"/>
  <c r="V20" i="1" s="1"/>
  <c r="T29" i="1"/>
  <c r="V29" i="1" s="1"/>
  <c r="T28" i="1"/>
  <c r="V28" i="1" s="1"/>
  <c r="T27" i="1"/>
  <c r="V27" i="1" s="1"/>
  <c r="T26" i="1"/>
  <c r="V26" i="1" s="1"/>
  <c r="T43" i="1"/>
  <c r="V43" i="1" s="1"/>
  <c r="T37" i="1"/>
  <c r="V37" i="1" s="1"/>
  <c r="T35" i="1"/>
  <c r="V35" i="1" s="1"/>
  <c r="T32" i="1"/>
  <c r="V32" i="1" s="1"/>
  <c r="T23" i="1"/>
  <c r="V23" i="1" s="1"/>
  <c r="T17" i="1"/>
  <c r="V17" i="1" s="1"/>
  <c r="T46" i="1"/>
  <c r="V46" i="1" s="1"/>
  <c r="T8" i="1"/>
  <c r="V8" i="1" s="1"/>
  <c r="T18" i="1"/>
  <c r="V18" i="1" s="1"/>
  <c r="T7" i="1"/>
  <c r="V7" i="1" s="1"/>
  <c r="T44" i="1"/>
  <c r="V44" i="1" s="1"/>
  <c r="T25" i="1"/>
  <c r="V25" i="1" s="1"/>
  <c r="T10" i="1"/>
  <c r="V10" i="1" s="1"/>
  <c r="T13" i="1"/>
  <c r="V13" i="1" s="1"/>
  <c r="T16" i="1"/>
  <c r="V16" i="1" s="1"/>
  <c r="T22" i="1"/>
  <c r="V22" i="1" s="1"/>
  <c r="T45" i="1"/>
  <c r="V45" i="1" s="1"/>
  <c r="T5" i="1"/>
  <c r="V5" i="1" s="1"/>
  <c r="T15" i="1"/>
  <c r="V15" i="1" s="1"/>
  <c r="T33" i="1" l="1"/>
  <c r="V33" i="1" s="1"/>
  <c r="T47" i="1"/>
  <c r="V47" i="1" s="1"/>
  <c r="T24" i="1"/>
  <c r="V24" i="1" s="1"/>
  <c r="T34" i="1"/>
  <c r="V34" i="1" s="1"/>
  <c r="T9" i="1"/>
  <c r="V9" i="1" s="1"/>
  <c r="T36" i="1"/>
  <c r="V36" i="1" s="1"/>
  <c r="T38" i="1"/>
  <c r="V38" i="1" s="1"/>
  <c r="T39" i="1"/>
  <c r="V39" i="1" s="1"/>
  <c r="T30" i="1"/>
  <c r="V30" i="1" s="1"/>
  <c r="T40" i="1"/>
  <c r="V40" i="1" s="1"/>
  <c r="T31" i="1"/>
  <c r="V31" i="1" s="1"/>
  <c r="T2" i="1"/>
  <c r="T3" i="1"/>
  <c r="V3" i="1" s="1"/>
  <c r="T6" i="1"/>
  <c r="V6" i="1" s="1"/>
  <c r="T41" i="1"/>
  <c r="V41" i="1" s="1"/>
  <c r="T12" i="1"/>
  <c r="V12" i="1" s="1"/>
  <c r="T42" i="1"/>
  <c r="V42" i="1" s="1"/>
  <c r="V2" i="1" l="1"/>
</calcChain>
</file>

<file path=xl/sharedStrings.xml><?xml version="1.0" encoding="utf-8"?>
<sst xmlns="http://schemas.openxmlformats.org/spreadsheetml/2006/main" count="356" uniqueCount="272">
  <si>
    <t>NOMBRE</t>
  </si>
  <si>
    <t>RFC</t>
  </si>
  <si>
    <t>MODALIDAD</t>
  </si>
  <si>
    <t>FECHA SEPARACION</t>
  </si>
  <si>
    <t>AGUINALDO</t>
  </si>
  <si>
    <t>PRIMA VACACIONAL</t>
  </si>
  <si>
    <t>INDEMNIZACION</t>
  </si>
  <si>
    <t>PRIMA ANTIGÜEDAD</t>
  </si>
  <si>
    <t>PERCEPCION BRUTA</t>
  </si>
  <si>
    <t>ISR</t>
  </si>
  <si>
    <t>CALLE</t>
  </si>
  <si>
    <t>NO</t>
  </si>
  <si>
    <t>CIUDAD</t>
  </si>
  <si>
    <t>00778</t>
  </si>
  <si>
    <t>ALFARO MADONADO LUIS RAUL</t>
  </si>
  <si>
    <t>AAML820207LA0</t>
  </si>
  <si>
    <t>DIRECCIÓN DE SEGURIDAD PÚBLICA</t>
  </si>
  <si>
    <t>CFZ</t>
  </si>
  <si>
    <t>SUBDIRECTOR DE SEG. PUBLICA</t>
  </si>
  <si>
    <t>10/10/2021</t>
  </si>
  <si>
    <t>00913</t>
  </si>
  <si>
    <t>ALMARAZ REYES GABRIELA</t>
  </si>
  <si>
    <t>AARG771228H91</t>
  </si>
  <si>
    <t>COORD DE EDUCACION</t>
  </si>
  <si>
    <t>COORDINADOR DE EDUCACION</t>
  </si>
  <si>
    <t>00944</t>
  </si>
  <si>
    <t>ALVARADO TAPIA RAZIEL</t>
  </si>
  <si>
    <t>AATR8911266W9</t>
  </si>
  <si>
    <t>UNIDAD DE ACCESO A LA INFORMACION Y TRAN</t>
  </si>
  <si>
    <t>COOR DE LA UNIDAD DE TRAN</t>
  </si>
  <si>
    <t>00975</t>
  </si>
  <si>
    <t>BARRON PERALES ANDREA CECILIA</t>
  </si>
  <si>
    <t>BAPA930105DY2</t>
  </si>
  <si>
    <t>CONTRALORIA MUNICIPAL</t>
  </si>
  <si>
    <t>AUTORIDAD SUSTANCIADORA</t>
  </si>
  <si>
    <t>20/10/2021</t>
  </si>
  <si>
    <t>00776</t>
  </si>
  <si>
    <t>CALIXTO AMADOR ELISEO</t>
  </si>
  <si>
    <t>CAAE881125F41</t>
  </si>
  <si>
    <t>VIALIDAD MUNICIPAL FORTA</t>
  </si>
  <si>
    <t>DIRECTOR DE TRANSITO Y VI</t>
  </si>
  <si>
    <t>01030</t>
  </si>
  <si>
    <t>CENTENO ESCOBEDO VICENTE</t>
  </si>
  <si>
    <t>CEEV960621HS3</t>
  </si>
  <si>
    <t>DIRECCION DE DESARROLLO URBANO</t>
  </si>
  <si>
    <t>DIRECTOR DE DESARROLLO URBANO A</t>
  </si>
  <si>
    <t>01/01/2022</t>
  </si>
  <si>
    <t>00895</t>
  </si>
  <si>
    <t>CORTEZ MARTINEZ MANUEL</t>
  </si>
  <si>
    <t>COMM651216FN4</t>
  </si>
  <si>
    <t>COORDINACION DE TURISMO</t>
  </si>
  <si>
    <t xml:space="preserve">COORDINADOR DE TURISMO </t>
  </si>
  <si>
    <t>20/09/2021</t>
  </si>
  <si>
    <t>00933</t>
  </si>
  <si>
    <t>GARCIA ANGELES NANCY DEL ROCIO</t>
  </si>
  <si>
    <t>GAAN871103AL9</t>
  </si>
  <si>
    <t>DESARROLLO ECONOMICO</t>
  </si>
  <si>
    <t>DIRECTOR DE DES ECON</t>
  </si>
  <si>
    <t>01096</t>
  </si>
  <si>
    <t>GARCIA QUINTANILLA LEONARDO ANTONIO</t>
  </si>
  <si>
    <t>GAQL7604021S6</t>
  </si>
  <si>
    <t>SECRETARIA PARTICULAR</t>
  </si>
  <si>
    <t>JEFATURA OPERATIVO</t>
  </si>
  <si>
    <t>12/02/2022</t>
  </si>
  <si>
    <t>01056</t>
  </si>
  <si>
    <t>GRANADOS GONZALEZ OSCAR</t>
  </si>
  <si>
    <t>GAGO8411036J7</t>
  </si>
  <si>
    <t>JEFATURA DE DESARROLLO URBANO</t>
  </si>
  <si>
    <t>01/12/2021</t>
  </si>
  <si>
    <t>01034</t>
  </si>
  <si>
    <t>GUERRERO GARCIA MA. TERESA</t>
  </si>
  <si>
    <t>GUGT890730B67</t>
  </si>
  <si>
    <t>SIPPINA</t>
  </si>
  <si>
    <t>ENCARGADO DE SIPINNA</t>
  </si>
  <si>
    <t>00934</t>
  </si>
  <si>
    <t>GUILLEN RODRIGUEZ FERNANDO</t>
  </si>
  <si>
    <t>GURF900201CKA</t>
  </si>
  <si>
    <t>H. Ayunt / Of Sindico</t>
  </si>
  <si>
    <t>COORDINADOR JURIDICO</t>
  </si>
  <si>
    <t>01017</t>
  </si>
  <si>
    <t>GUZMAN ALFARO JAIME JOVANI</t>
  </si>
  <si>
    <t>GUAJ840616V77</t>
  </si>
  <si>
    <t>PROTECCION CIVIL</t>
  </si>
  <si>
    <t>SUDIRECTOR PROTECCION CIVIL</t>
  </si>
  <si>
    <t>01324</t>
  </si>
  <si>
    <t>LAGUNA MUÑOZ JOEL</t>
  </si>
  <si>
    <t>LAMJ890225JF2</t>
  </si>
  <si>
    <t>DIRECCION DE PROCURADURIA AUXILIAR</t>
  </si>
  <si>
    <t>PROCURADOR AUXILIAR</t>
  </si>
  <si>
    <t>27/11/2023</t>
  </si>
  <si>
    <t>00938</t>
  </si>
  <si>
    <t>LOPEZ ALFARO JORGE ALBERTO</t>
  </si>
  <si>
    <t>LOAJ870204BH4</t>
  </si>
  <si>
    <t>DIRECCION FISCALIZACION</t>
  </si>
  <si>
    <t>DIRECTOR DE FISCALIZACION</t>
  </si>
  <si>
    <t>01001</t>
  </si>
  <si>
    <t>LOPEZ QUINTERO ALEJANDRA</t>
  </si>
  <si>
    <t>LOQA820826GHA</t>
  </si>
  <si>
    <t>COOR MPAL ATEN MUJER COMON</t>
  </si>
  <si>
    <t>COORDINACION DE LA IMAM</t>
  </si>
  <si>
    <t>06/06/2022</t>
  </si>
  <si>
    <t>00921</t>
  </si>
  <si>
    <t>MEDINA SANCHEZ ARACELI</t>
  </si>
  <si>
    <t>MESA7210051M8</t>
  </si>
  <si>
    <t>MESA72100511M600</t>
  </si>
  <si>
    <t>SERVICIOS MUNICIPALES</t>
  </si>
  <si>
    <t>DIRECTOR DE SERVICIOS MUNICIPALES</t>
  </si>
  <si>
    <t>00925</t>
  </si>
  <si>
    <t>MEDINA SANCHEZ ISRAEL</t>
  </si>
  <si>
    <t>MESI710210918</t>
  </si>
  <si>
    <t>DIRECCION DE DESARROLLO SOCIAL</t>
  </si>
  <si>
    <t>DIRECTOR DESARROLLO SOCIAL A</t>
  </si>
  <si>
    <t>01288</t>
  </si>
  <si>
    <t>MEDINA VILLA ANA LUISA</t>
  </si>
  <si>
    <t>MEVA600612R90</t>
  </si>
  <si>
    <t>PREVENCION AL DELITO</t>
  </si>
  <si>
    <t>COORDINADOR DE PREVENCION DEL DELITO</t>
  </si>
  <si>
    <t>03/07/2023</t>
  </si>
  <si>
    <t>00955</t>
  </si>
  <si>
    <t>MEJIA PEREZ JOSE MARIA</t>
  </si>
  <si>
    <t>MEPM790705BL0</t>
  </si>
  <si>
    <t xml:space="preserve">SUBDIRECTOR DES SOCIAL </t>
  </si>
  <si>
    <t>12/10/2021</t>
  </si>
  <si>
    <t>00930</t>
  </si>
  <si>
    <t>MEZA GALVAN DIEGO RAFAEL</t>
  </si>
  <si>
    <t>MEGD951113AD1</t>
  </si>
  <si>
    <t>SECRETARIO PARTICULAR A</t>
  </si>
  <si>
    <t>00777</t>
  </si>
  <si>
    <t>MONTECILLO LABRADA JORGE</t>
  </si>
  <si>
    <t>MOLJ920504EX5</t>
  </si>
  <si>
    <t>DIRECTOR DE PC</t>
  </si>
  <si>
    <t>01296</t>
  </si>
  <si>
    <t>MONTIEL VARGAS MACARIO</t>
  </si>
  <si>
    <t>MOVM630519E47</t>
  </si>
  <si>
    <t>COMISION MPAL DEL DEPORTE</t>
  </si>
  <si>
    <t>DIRECTOR DE LA COMISION M</t>
  </si>
  <si>
    <t>25/07/2023</t>
  </si>
  <si>
    <t>00797</t>
  </si>
  <si>
    <t>MOTA OLALDE DIANA REBECA</t>
  </si>
  <si>
    <t>MOOD850130KX2</t>
  </si>
  <si>
    <t>SECRETARIA DE AYUNTAMIENTO</t>
  </si>
  <si>
    <t>SECRETARIO DE AYUNTAMIENT</t>
  </si>
  <si>
    <t>22/10/2018</t>
  </si>
  <si>
    <t>01155</t>
  </si>
  <si>
    <t>NUÑEZ AMADOR MARIA ISABEL</t>
  </si>
  <si>
    <t>NUAI910404M18</t>
  </si>
  <si>
    <t>COORD DE ATN JUVENTUD</t>
  </si>
  <si>
    <t>COORDINADOR DE ATEN AL JUVENTUD</t>
  </si>
  <si>
    <t>09/05/2022</t>
  </si>
  <si>
    <t>01212</t>
  </si>
  <si>
    <t>ORDUÑA SOTO JUANA DE JESUS</t>
  </si>
  <si>
    <t>OUSJ7906249N9</t>
  </si>
  <si>
    <t>DIR DE PLANEACION MPAL</t>
  </si>
  <si>
    <t>DIRECTOR DE PLANEACION</t>
  </si>
  <si>
    <t>09/01/2023</t>
  </si>
  <si>
    <t>00928</t>
  </si>
  <si>
    <t>PEÑA MELGAR ADRIAN CRISTOBAL</t>
  </si>
  <si>
    <t>PEMA570305US6</t>
  </si>
  <si>
    <t>COORDINACION DE ECOLOGIA</t>
  </si>
  <si>
    <t>COORDINADOR DE ECOLOGIA</t>
  </si>
  <si>
    <t>01211</t>
  </si>
  <si>
    <t>PRADO LABRADA SANDRA</t>
  </si>
  <si>
    <t>PALS891019FG6</t>
  </si>
  <si>
    <t>UNIDAD DE ACCESO A LA INFORMACION Y TRANSPARENCIA</t>
  </si>
  <si>
    <t>ENCARGADO DE LA UNIDAD DE TRANSPARENCIA Y ACCESO A LA INFORMACIÓN PÚBLICA</t>
  </si>
  <si>
    <t>00097</t>
  </si>
  <si>
    <t>RAMIREZ ESTRADA CARLA GERALDINE</t>
  </si>
  <si>
    <t>RAEC9203082M2</t>
  </si>
  <si>
    <t>SUBDIRECTOR DE VIALIDAD</t>
  </si>
  <si>
    <t>00766</t>
  </si>
  <si>
    <t>RAMIREZ ESTRADA MAYRA</t>
  </si>
  <si>
    <t>RAEM700507R63</t>
  </si>
  <si>
    <t>TESORERIA MPAL</t>
  </si>
  <si>
    <t>TESORERO MUNICIPAL</t>
  </si>
  <si>
    <t>10/10/2015</t>
  </si>
  <si>
    <t>00941</t>
  </si>
  <si>
    <t>RAMOS PEREZ GABRIEL</t>
  </si>
  <si>
    <t>RAPG820110FTA</t>
  </si>
  <si>
    <t>DIRECCION DE INFORMATICA</t>
  </si>
  <si>
    <t>DIRECTOR DE INFORMATICA</t>
  </si>
  <si>
    <t>00915</t>
  </si>
  <si>
    <t>REVILLA MACIAS JOSE LUIS</t>
  </si>
  <si>
    <t>REML580312DZ8</t>
  </si>
  <si>
    <t>DIRECCION DE TURISMO</t>
  </si>
  <si>
    <t>DIRECTOR DE TURISMO</t>
  </si>
  <si>
    <t>01382</t>
  </si>
  <si>
    <t>RICO GARCIA JOSE LUZ</t>
  </si>
  <si>
    <t>RIGL720802557</t>
  </si>
  <si>
    <t>OBRAS PUBLICAS</t>
  </si>
  <si>
    <t>SUBDIRECTOR DE OBRAS PUBLICAS</t>
  </si>
  <si>
    <t>03/06/2024</t>
  </si>
  <si>
    <t>00931</t>
  </si>
  <si>
    <t>RODRIGUEZ BARRERA SARA DEL CARMEN</t>
  </si>
  <si>
    <t>ROBS970718NN2</t>
  </si>
  <si>
    <t xml:space="preserve">COORDINADOR </t>
  </si>
  <si>
    <t>13/06/2023</t>
  </si>
  <si>
    <t>00914</t>
  </si>
  <si>
    <t>RODRIGUEZ TAPIA SILVESTRE ALBERTO</t>
  </si>
  <si>
    <t>ROTS750104891</t>
  </si>
  <si>
    <t>COORD DE SALUD</t>
  </si>
  <si>
    <t>COORDINACION DE SALUD</t>
  </si>
  <si>
    <t>01103</t>
  </si>
  <si>
    <t>ROJAS RODRIGUEZ ANA CRISTINA</t>
  </si>
  <si>
    <t>RORA020626AP3</t>
  </si>
  <si>
    <t>AUXILIAR DE AUDITORIA</t>
  </si>
  <si>
    <t>18/02/2022</t>
  </si>
  <si>
    <t>00912</t>
  </si>
  <si>
    <t>RUBIO SANCHEZ LIDIA</t>
  </si>
  <si>
    <t>RUSL7305016U8</t>
  </si>
  <si>
    <t>ENCARGADA ADMINISTRATIVO</t>
  </si>
  <si>
    <t>00920</t>
  </si>
  <si>
    <t>RUIZ PALOBLANCO MARTIN</t>
  </si>
  <si>
    <t>RUPM7311114Z6</t>
  </si>
  <si>
    <t>DIRECTOR DE OBRAS PUBLICAS</t>
  </si>
  <si>
    <t>00919</t>
  </si>
  <si>
    <t>SALGADO MENDEZ TOMAS DE JESUS</t>
  </si>
  <si>
    <t>SAMT860308GE2</t>
  </si>
  <si>
    <t>SUBDIRECTOR ADMINISTRATIVO</t>
  </si>
  <si>
    <t>01233</t>
  </si>
  <si>
    <t>SANCHEZ DOMINGUEZ ANA BELEN</t>
  </si>
  <si>
    <t>SADA9302097N8</t>
  </si>
  <si>
    <t>DIRECCION JURIDICA</t>
  </si>
  <si>
    <t>DIRECTOR JURIDICO</t>
  </si>
  <si>
    <t>13/02/2023</t>
  </si>
  <si>
    <t>00939</t>
  </si>
  <si>
    <t>SANCHEZ ROJAS JOSE ANTONIO</t>
  </si>
  <si>
    <t>SARA5902202W6</t>
  </si>
  <si>
    <t>DIRECCION CATASTRO E IMPUESTOS INMOBILIARIOS</t>
  </si>
  <si>
    <t>DIRECTOR DE IMPUESTO IMOBILIARIO A</t>
  </si>
  <si>
    <t>00768</t>
  </si>
  <si>
    <t>TORRECITAS ORO ESTEBAN</t>
  </si>
  <si>
    <t>TOOE790806R44</t>
  </si>
  <si>
    <t>SEGURIDAD PUBLICA</t>
  </si>
  <si>
    <t>COMISARIO</t>
  </si>
  <si>
    <t>12/04/2019</t>
  </si>
  <si>
    <t>00916</t>
  </si>
  <si>
    <t>VAZQUEZ CRUZ JOSE EDUARDO</t>
  </si>
  <si>
    <t>VACE880509282</t>
  </si>
  <si>
    <t>COORDINACION DEL MIGRANTE</t>
  </si>
  <si>
    <t>COORDINADOR DE ATENCION AL MIGRANTE</t>
  </si>
  <si>
    <t>00927</t>
  </si>
  <si>
    <t>VAZQUEZ MANRIQUEZ ALEJANDRA</t>
  </si>
  <si>
    <t>VAMA741126EM5</t>
  </si>
  <si>
    <t>COMUNICACION  SOCIAL</t>
  </si>
  <si>
    <t>DIRECTOR DE COMUNICACION SOCIAL</t>
  </si>
  <si>
    <t>00823</t>
  </si>
  <si>
    <t>VAZQUEZ MANRIQUEZ SANDRA</t>
  </si>
  <si>
    <t>VAMS790428775</t>
  </si>
  <si>
    <t>CONTRALOR A</t>
  </si>
  <si>
    <t>14/01/2019</t>
  </si>
  <si>
    <t>00923</t>
  </si>
  <si>
    <t>ZARATE GOMEZ ABELARDO</t>
  </si>
  <si>
    <t>ZAGA720630CG5</t>
  </si>
  <si>
    <t>CASA DE LA CULTURA</t>
  </si>
  <si>
    <t>DIRECTOR DE CASA DE CULTURA</t>
  </si>
  <si>
    <t>PV</t>
  </si>
  <si>
    <t>INDEMNIZA</t>
  </si>
  <si>
    <t>P ANTIG</t>
  </si>
  <si>
    <t>TOTAL</t>
  </si>
  <si>
    <t>NETO</t>
  </si>
  <si>
    <t>SOL</t>
  </si>
  <si>
    <t>72</t>
  </si>
  <si>
    <t>ZONA CENTRO</t>
  </si>
  <si>
    <t>E. ESCOBEDO</t>
  </si>
  <si>
    <t>NO EMPLEADO</t>
  </si>
  <si>
    <t>INE</t>
  </si>
  <si>
    <t>COLONIA</t>
  </si>
  <si>
    <t>DEPARTAMENTO</t>
  </si>
  <si>
    <t>PUESTO</t>
  </si>
  <si>
    <t>FECHA INGRESO</t>
  </si>
  <si>
    <t>SDI</t>
  </si>
  <si>
    <t>SUELDO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</si>
</sst>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44" fontId="0" fillId="0" borderId="0" xfId="0" applyNumberFormat="1" applyAlignment="1">
      <alignment horizontal="left"/>
    </xf>
    <xf numFmtId="0" fontId="2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44" fontId="2" fillId="0" borderId="0" xfId="1" applyFont="1" applyFill="1" applyBorder="1" applyAlignment="1">
      <alignment horizontal="left"/>
    </xf>
    <xf numFmtId="44" fontId="2" fillId="0" borderId="0" xfId="0" applyNumberFormat="1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workbookViewId="0">
      <selection activeCell="I28" sqref="I28"/>
    </sheetView>
  </sheetViews>
  <sheetFormatPr baseColWidth="10" defaultRowHeight="14.4" x14ac:dyDescent="0.3"/>
  <cols>
    <col min="1" max="1" width="11" style="11" bestFit="1" customWidth="1"/>
    <col min="2" max="2" width="31" style="11" bestFit="1" customWidth="1"/>
    <col min="3" max="3" width="12.77734375" style="11" bestFit="1" customWidth="1"/>
    <col min="4" max="4" width="14.5546875" style="11" bestFit="1" customWidth="1"/>
    <col min="5" max="5" width="4.77734375" style="11" bestFit="1" customWidth="1"/>
    <col min="6" max="6" width="5" style="11" customWidth="1"/>
    <col min="7" max="7" width="10.6640625" style="11" bestFit="1" customWidth="1"/>
    <col min="8" max="8" width="9.6640625" style="11" bestFit="1" customWidth="1"/>
    <col min="9" max="9" width="41.77734375" style="11" customWidth="1"/>
    <col min="10" max="10" width="9.44140625" style="11" bestFit="1" customWidth="1"/>
    <col min="11" max="11" width="61.44140625" style="11" bestFit="1" customWidth="1"/>
    <col min="12" max="12" width="11.77734375" style="11" bestFit="1" customWidth="1"/>
    <col min="13" max="13" width="16.77734375" style="11" customWidth="1"/>
    <col min="14" max="14" width="8.21875" style="11" bestFit="1" customWidth="1"/>
    <col min="15" max="15" width="9" style="11" bestFit="1" customWidth="1"/>
    <col min="16" max="16" width="11.109375" style="11" bestFit="1" customWidth="1"/>
    <col min="17" max="17" width="9.88671875" style="11" bestFit="1" customWidth="1"/>
    <col min="18" max="18" width="12.44140625" style="11" bestFit="1" customWidth="1"/>
    <col min="19" max="19" width="17.21875" style="11" customWidth="1"/>
    <col min="20" max="20" width="14.44140625" style="11" bestFit="1" customWidth="1"/>
    <col min="21" max="21" width="9" style="11" bestFit="1" customWidth="1"/>
    <col min="22" max="22" width="9.77734375" style="11" bestFit="1" customWidth="1"/>
    <col min="23" max="23" width="11.5546875" style="12"/>
    <col min="24" max="16384" width="11.5546875" style="11"/>
  </cols>
  <sheetData>
    <row r="1" spans="1:22" s="7" customFormat="1" ht="24" x14ac:dyDescent="0.3">
      <c r="A1" s="3" t="s">
        <v>264</v>
      </c>
      <c r="B1" s="5" t="s">
        <v>0</v>
      </c>
      <c r="C1" s="5" t="s">
        <v>1</v>
      </c>
      <c r="D1" s="5" t="s">
        <v>265</v>
      </c>
      <c r="E1" s="5" t="s">
        <v>10</v>
      </c>
      <c r="F1" s="5" t="s">
        <v>11</v>
      </c>
      <c r="G1" s="4" t="s">
        <v>266</v>
      </c>
      <c r="H1" s="5" t="s">
        <v>12</v>
      </c>
      <c r="I1" s="5" t="s">
        <v>267</v>
      </c>
      <c r="J1" s="1" t="s">
        <v>2</v>
      </c>
      <c r="K1" s="5" t="s">
        <v>268</v>
      </c>
      <c r="L1" s="5" t="s">
        <v>269</v>
      </c>
      <c r="M1" s="6" t="s">
        <v>3</v>
      </c>
      <c r="N1" s="1" t="s">
        <v>270</v>
      </c>
      <c r="O1" s="4" t="s">
        <v>271</v>
      </c>
      <c r="P1" s="4" t="s">
        <v>4</v>
      </c>
      <c r="Q1" s="4" t="s">
        <v>5</v>
      </c>
      <c r="R1" s="4" t="s">
        <v>6</v>
      </c>
      <c r="S1" s="4" t="s">
        <v>7</v>
      </c>
      <c r="T1" s="2" t="s">
        <v>8</v>
      </c>
      <c r="U1" s="2" t="s">
        <v>9</v>
      </c>
      <c r="V1" s="6" t="s">
        <v>259</v>
      </c>
    </row>
    <row r="2" spans="1:22" s="14" customFormat="1" ht="12" x14ac:dyDescent="0.25">
      <c r="A2" s="14" t="s">
        <v>13</v>
      </c>
      <c r="B2" s="15" t="s">
        <v>14</v>
      </c>
      <c r="C2" s="15" t="s">
        <v>15</v>
      </c>
      <c r="D2" s="15"/>
      <c r="E2" s="15"/>
      <c r="F2" s="15"/>
      <c r="G2" s="15"/>
      <c r="H2" s="15"/>
      <c r="I2" s="15" t="s">
        <v>16</v>
      </c>
      <c r="J2" s="15" t="s">
        <v>17</v>
      </c>
      <c r="K2" s="15" t="s">
        <v>18</v>
      </c>
      <c r="L2" s="15" t="s">
        <v>19</v>
      </c>
      <c r="M2" s="16">
        <v>45574</v>
      </c>
      <c r="N2" s="17">
        <v>1062.8499999999999</v>
      </c>
      <c r="O2" s="18">
        <f>N2*14</f>
        <v>14879.899999999998</v>
      </c>
      <c r="P2" s="18">
        <v>41091.0587431694</v>
      </c>
      <c r="Q2" s="18">
        <v>3519.6016393442619</v>
      </c>
      <c r="R2" s="18">
        <v>95656.499999999985</v>
      </c>
      <c r="S2" s="18">
        <v>38297.543013698632</v>
      </c>
      <c r="T2" s="18">
        <f t="shared" ref="T2:T47" si="0">P2+Q2+R2+S2</f>
        <v>178564.70339621228</v>
      </c>
      <c r="U2" s="17">
        <v>13348.792440016696</v>
      </c>
      <c r="V2" s="18">
        <f>T2-U2</f>
        <v>165215.91095619558</v>
      </c>
    </row>
    <row r="3" spans="1:22" s="14" customFormat="1" ht="12" x14ac:dyDescent="0.25">
      <c r="A3" s="14" t="s">
        <v>20</v>
      </c>
      <c r="B3" s="15" t="s">
        <v>21</v>
      </c>
      <c r="C3" s="15" t="s">
        <v>22</v>
      </c>
      <c r="D3" s="15"/>
      <c r="E3" s="15"/>
      <c r="F3" s="15"/>
      <c r="G3" s="15"/>
      <c r="H3" s="15"/>
      <c r="I3" s="15" t="s">
        <v>23</v>
      </c>
      <c r="J3" s="15" t="s">
        <v>17</v>
      </c>
      <c r="K3" s="15" t="s">
        <v>24</v>
      </c>
      <c r="L3" s="15" t="s">
        <v>19</v>
      </c>
      <c r="M3" s="16">
        <v>45574</v>
      </c>
      <c r="N3" s="17">
        <v>975.24</v>
      </c>
      <c r="O3" s="18">
        <f t="shared" ref="O3:O47" si="1">N3*14</f>
        <v>13653.36</v>
      </c>
      <c r="P3" s="18">
        <v>37703.950819672136</v>
      </c>
      <c r="Q3" s="18">
        <v>3229.4832786885249</v>
      </c>
      <c r="R3" s="18">
        <v>87771.6</v>
      </c>
      <c r="S3" s="18">
        <v>35140.702684931515</v>
      </c>
      <c r="T3" s="18">
        <f t="shared" si="0"/>
        <v>163845.73678329217</v>
      </c>
      <c r="U3" s="17">
        <v>11500.187024039145</v>
      </c>
      <c r="V3" s="18">
        <f t="shared" ref="V3:V47" si="2">T3-U3</f>
        <v>152345.54975925302</v>
      </c>
    </row>
    <row r="4" spans="1:22" s="14" customFormat="1" ht="12" x14ac:dyDescent="0.25">
      <c r="A4" s="14" t="s">
        <v>25</v>
      </c>
      <c r="B4" s="15" t="s">
        <v>26</v>
      </c>
      <c r="C4" s="15" t="s">
        <v>27</v>
      </c>
      <c r="D4" s="15"/>
      <c r="E4" s="15"/>
      <c r="F4" s="15"/>
      <c r="G4" s="15"/>
      <c r="H4" s="15"/>
      <c r="I4" s="15" t="s">
        <v>28</v>
      </c>
      <c r="J4" s="15" t="s">
        <v>17</v>
      </c>
      <c r="K4" s="15" t="s">
        <v>29</v>
      </c>
      <c r="L4" s="15" t="s">
        <v>19</v>
      </c>
      <c r="M4" s="16">
        <v>45574</v>
      </c>
      <c r="N4" s="17">
        <v>1062.8499999999999</v>
      </c>
      <c r="O4" s="18">
        <f t="shared" si="1"/>
        <v>14879.899999999998</v>
      </c>
      <c r="P4" s="18">
        <v>41091.0587431694</v>
      </c>
      <c r="Q4" s="18">
        <v>3519.6016393442619</v>
      </c>
      <c r="R4" s="18">
        <v>95656.499999999985</v>
      </c>
      <c r="S4" s="18">
        <v>38297.543013698632</v>
      </c>
      <c r="T4" s="18">
        <f t="shared" si="0"/>
        <v>178564.70339621228</v>
      </c>
      <c r="U4" s="17">
        <v>13348.792440016696</v>
      </c>
      <c r="V4" s="18">
        <f t="shared" si="2"/>
        <v>165215.91095619558</v>
      </c>
    </row>
    <row r="5" spans="1:22" s="14" customFormat="1" ht="12" x14ac:dyDescent="0.25">
      <c r="A5" s="14" t="s">
        <v>30</v>
      </c>
      <c r="B5" s="15" t="s">
        <v>31</v>
      </c>
      <c r="C5" s="15" t="s">
        <v>32</v>
      </c>
      <c r="D5" s="15"/>
      <c r="E5" s="15"/>
      <c r="F5" s="15"/>
      <c r="G5" s="15"/>
      <c r="H5" s="15"/>
      <c r="I5" s="15" t="s">
        <v>33</v>
      </c>
      <c r="J5" s="15" t="s">
        <v>17</v>
      </c>
      <c r="K5" s="15" t="s">
        <v>34</v>
      </c>
      <c r="L5" s="15" t="s">
        <v>35</v>
      </c>
      <c r="M5" s="16">
        <v>45574</v>
      </c>
      <c r="N5" s="17">
        <v>725</v>
      </c>
      <c r="O5" s="18">
        <f t="shared" si="1"/>
        <v>10150</v>
      </c>
      <c r="P5" s="18">
        <v>28029.371584699456</v>
      </c>
      <c r="Q5" s="18">
        <v>2400.8196721311479</v>
      </c>
      <c r="R5" s="18">
        <v>64654.653284671527</v>
      </c>
      <c r="S5" s="18">
        <v>25885.479452054795</v>
      </c>
      <c r="T5" s="18">
        <f t="shared" si="0"/>
        <v>120970.32399355693</v>
      </c>
      <c r="U5" s="17">
        <v>6351.8950846741063</v>
      </c>
      <c r="V5" s="18">
        <f t="shared" si="2"/>
        <v>114618.42890888282</v>
      </c>
    </row>
    <row r="6" spans="1:22" s="14" customFormat="1" ht="12" x14ac:dyDescent="0.25">
      <c r="A6" s="14" t="s">
        <v>36</v>
      </c>
      <c r="B6" s="15" t="s">
        <v>37</v>
      </c>
      <c r="C6" s="15" t="s">
        <v>38</v>
      </c>
      <c r="D6" s="15"/>
      <c r="E6" s="15"/>
      <c r="F6" s="15"/>
      <c r="G6" s="15"/>
      <c r="H6" s="15"/>
      <c r="I6" s="15" t="s">
        <v>39</v>
      </c>
      <c r="J6" s="15" t="s">
        <v>17</v>
      </c>
      <c r="K6" s="15" t="s">
        <v>40</v>
      </c>
      <c r="L6" s="15" t="s">
        <v>19</v>
      </c>
      <c r="M6" s="16">
        <v>45574</v>
      </c>
      <c r="N6" s="17">
        <v>1519.13</v>
      </c>
      <c r="O6" s="18">
        <f t="shared" si="1"/>
        <v>21267.82</v>
      </c>
      <c r="P6" s="18">
        <v>58731.392076502743</v>
      </c>
      <c r="Q6" s="18">
        <v>5030.5616393442624</v>
      </c>
      <c r="R6" s="18">
        <v>136721.70000000001</v>
      </c>
      <c r="S6" s="18">
        <v>54738.624000000011</v>
      </c>
      <c r="T6" s="18">
        <f t="shared" si="0"/>
        <v>255222.27771584701</v>
      </c>
      <c r="U6" s="17">
        <v>23868.557280411635</v>
      </c>
      <c r="V6" s="18">
        <f t="shared" si="2"/>
        <v>231353.72043543539</v>
      </c>
    </row>
    <row r="7" spans="1:22" s="14" customFormat="1" ht="12" x14ac:dyDescent="0.25">
      <c r="A7" s="14" t="s">
        <v>41</v>
      </c>
      <c r="B7" s="15" t="s">
        <v>42</v>
      </c>
      <c r="C7" s="15" t="s">
        <v>43</v>
      </c>
      <c r="D7" s="15"/>
      <c r="E7" s="15"/>
      <c r="F7" s="15"/>
      <c r="G7" s="15"/>
      <c r="H7" s="15"/>
      <c r="I7" s="15" t="s">
        <v>44</v>
      </c>
      <c r="J7" s="15" t="s">
        <v>17</v>
      </c>
      <c r="K7" s="15" t="s">
        <v>45</v>
      </c>
      <c r="L7" s="15" t="s">
        <v>46</v>
      </c>
      <c r="M7" s="16">
        <v>45574</v>
      </c>
      <c r="N7" s="17">
        <v>1321.61</v>
      </c>
      <c r="O7" s="18">
        <f t="shared" si="1"/>
        <v>18502.539999999997</v>
      </c>
      <c r="P7" s="18">
        <v>51095.03142076503</v>
      </c>
      <c r="Q7" s="18">
        <v>4376.4790163934422</v>
      </c>
      <c r="R7" s="18">
        <v>109937.21140510948</v>
      </c>
      <c r="S7" s="18">
        <v>44015.044273972591</v>
      </c>
      <c r="T7" s="18">
        <f t="shared" si="0"/>
        <v>209423.76611624056</v>
      </c>
      <c r="U7" s="17">
        <v>17724.744959753603</v>
      </c>
      <c r="V7" s="18">
        <f t="shared" si="2"/>
        <v>191699.02115648694</v>
      </c>
    </row>
    <row r="8" spans="1:22" s="14" customFormat="1" ht="12" x14ac:dyDescent="0.25">
      <c r="A8" s="14" t="s">
        <v>47</v>
      </c>
      <c r="B8" s="15" t="s">
        <v>48</v>
      </c>
      <c r="C8" s="15" t="s">
        <v>49</v>
      </c>
      <c r="D8" s="15"/>
      <c r="E8" s="15"/>
      <c r="F8" s="15"/>
      <c r="G8" s="15"/>
      <c r="H8" s="15"/>
      <c r="I8" s="15" t="s">
        <v>50</v>
      </c>
      <c r="J8" s="15" t="s">
        <v>17</v>
      </c>
      <c r="K8" s="15" t="s">
        <v>51</v>
      </c>
      <c r="L8" s="15" t="s">
        <v>52</v>
      </c>
      <c r="M8" s="16">
        <v>45574</v>
      </c>
      <c r="N8" s="17">
        <v>1081</v>
      </c>
      <c r="O8" s="18">
        <f t="shared" si="1"/>
        <v>15134</v>
      </c>
      <c r="P8" s="18">
        <v>41792.759562841537</v>
      </c>
      <c r="Q8" s="18">
        <v>3579.7049180327872</v>
      </c>
      <c r="R8" s="18">
        <v>97290</v>
      </c>
      <c r="S8" s="18">
        <v>39662.334246575345</v>
      </c>
      <c r="T8" s="18">
        <f t="shared" si="0"/>
        <v>182324.79872744967</v>
      </c>
      <c r="U8" s="17">
        <v>13757.08838365084</v>
      </c>
      <c r="V8" s="18">
        <f t="shared" si="2"/>
        <v>168567.71034379883</v>
      </c>
    </row>
    <row r="9" spans="1:22" s="14" customFormat="1" ht="12" x14ac:dyDescent="0.25">
      <c r="A9" s="14" t="s">
        <v>53</v>
      </c>
      <c r="B9" s="15" t="s">
        <v>54</v>
      </c>
      <c r="C9" s="15" t="s">
        <v>55</v>
      </c>
      <c r="D9" s="15"/>
      <c r="E9" s="15"/>
      <c r="F9" s="15"/>
      <c r="G9" s="15"/>
      <c r="H9" s="15"/>
      <c r="I9" s="15" t="s">
        <v>56</v>
      </c>
      <c r="J9" s="15" t="s">
        <v>17</v>
      </c>
      <c r="K9" s="15" t="s">
        <v>57</v>
      </c>
      <c r="L9" s="15" t="s">
        <v>19</v>
      </c>
      <c r="M9" s="16">
        <v>45574</v>
      </c>
      <c r="N9" s="17">
        <v>1321.61</v>
      </c>
      <c r="O9" s="18">
        <f t="shared" si="1"/>
        <v>18502.539999999997</v>
      </c>
      <c r="P9" s="18">
        <v>51095.03142076503</v>
      </c>
      <c r="Q9" s="18">
        <v>4376.4790163934422</v>
      </c>
      <c r="R9" s="18">
        <v>118944.9</v>
      </c>
      <c r="S9" s="18">
        <v>47621.410191780822</v>
      </c>
      <c r="T9" s="18">
        <f t="shared" si="0"/>
        <v>222037.82062893931</v>
      </c>
      <c r="U9" s="17">
        <v>19160.190055711559</v>
      </c>
      <c r="V9" s="18">
        <f t="shared" si="2"/>
        <v>202877.63057322777</v>
      </c>
    </row>
    <row r="10" spans="1:22" s="14" customFormat="1" ht="12" x14ac:dyDescent="0.25">
      <c r="A10" s="14" t="s">
        <v>58</v>
      </c>
      <c r="B10" s="15" t="s">
        <v>59</v>
      </c>
      <c r="C10" s="15" t="s">
        <v>60</v>
      </c>
      <c r="D10" s="15"/>
      <c r="E10" s="15"/>
      <c r="F10" s="15"/>
      <c r="G10" s="15"/>
      <c r="H10" s="15"/>
      <c r="I10" s="15" t="s">
        <v>61</v>
      </c>
      <c r="J10" s="15" t="s">
        <v>17</v>
      </c>
      <c r="K10" s="14" t="s">
        <v>62</v>
      </c>
      <c r="L10" s="15" t="s">
        <v>63</v>
      </c>
      <c r="M10" s="16">
        <v>45574</v>
      </c>
      <c r="N10" s="17">
        <v>1031.98</v>
      </c>
      <c r="O10" s="18">
        <f t="shared" si="1"/>
        <v>14447.720000000001</v>
      </c>
      <c r="P10" s="17">
        <v>14239.068306010931</v>
      </c>
      <c r="Q10" s="18">
        <v>3417.3763934426233</v>
      </c>
      <c r="R10" s="18">
        <v>82285.339598540144</v>
      </c>
      <c r="S10" s="18">
        <v>32944.194410958902</v>
      </c>
      <c r="T10" s="18">
        <f t="shared" si="0"/>
        <v>132885.97870895261</v>
      </c>
      <c r="U10" s="17">
        <v>11257.4</v>
      </c>
      <c r="V10" s="18">
        <f t="shared" si="2"/>
        <v>121628.57870895261</v>
      </c>
    </row>
    <row r="11" spans="1:22" s="14" customFormat="1" ht="12" x14ac:dyDescent="0.25">
      <c r="A11" s="14" t="s">
        <v>64</v>
      </c>
      <c r="B11" s="15" t="s">
        <v>65</v>
      </c>
      <c r="C11" s="15" t="s">
        <v>66</v>
      </c>
      <c r="D11" s="15"/>
      <c r="E11" s="15"/>
      <c r="F11" s="15"/>
      <c r="G11" s="15"/>
      <c r="H11" s="15"/>
      <c r="I11" s="15" t="s">
        <v>44</v>
      </c>
      <c r="J11" s="15" t="s">
        <v>17</v>
      </c>
      <c r="K11" s="15" t="s">
        <v>67</v>
      </c>
      <c r="L11" s="15" t="s">
        <v>68</v>
      </c>
      <c r="M11" s="16">
        <v>45574</v>
      </c>
      <c r="N11" s="17">
        <v>753.81</v>
      </c>
      <c r="O11" s="18">
        <f t="shared" si="1"/>
        <v>10553.34</v>
      </c>
      <c r="P11" s="18">
        <v>29143.200819672133</v>
      </c>
      <c r="Q11" s="18">
        <v>2496.2232786885247</v>
      </c>
      <c r="R11" s="18">
        <v>64624.076277372253</v>
      </c>
      <c r="S11" s="18">
        <v>25873.237479452051</v>
      </c>
      <c r="T11" s="18">
        <f t="shared" si="0"/>
        <v>122136.73785518497</v>
      </c>
      <c r="U11" s="17">
        <v>6647.0161336210131</v>
      </c>
      <c r="V11" s="18">
        <f t="shared" si="2"/>
        <v>115489.72172156395</v>
      </c>
    </row>
    <row r="12" spans="1:22" s="14" customFormat="1" ht="12" x14ac:dyDescent="0.25">
      <c r="A12" s="14" t="s">
        <v>69</v>
      </c>
      <c r="B12" s="15" t="s">
        <v>70</v>
      </c>
      <c r="C12" s="15" t="s">
        <v>71</v>
      </c>
      <c r="D12" s="15"/>
      <c r="E12" s="15"/>
      <c r="F12" s="15"/>
      <c r="G12" s="15"/>
      <c r="H12" s="15"/>
      <c r="I12" s="15" t="s">
        <v>72</v>
      </c>
      <c r="J12" s="15" t="s">
        <v>17</v>
      </c>
      <c r="K12" s="15" t="s">
        <v>73</v>
      </c>
      <c r="L12" s="15" t="s">
        <v>46</v>
      </c>
      <c r="M12" s="16">
        <v>45574</v>
      </c>
      <c r="N12" s="17">
        <v>753.81</v>
      </c>
      <c r="O12" s="18">
        <f t="shared" si="1"/>
        <v>10553.34</v>
      </c>
      <c r="P12" s="18">
        <v>29143.200819672133</v>
      </c>
      <c r="Q12" s="18">
        <v>2496.2232786885247</v>
      </c>
      <c r="R12" s="18">
        <v>62705.162135036488</v>
      </c>
      <c r="S12" s="18">
        <v>25104.970849315061</v>
      </c>
      <c r="T12" s="18">
        <f t="shared" si="0"/>
        <v>119449.55708271221</v>
      </c>
      <c r="U12" s="17">
        <v>6449.6430491935671</v>
      </c>
      <c r="V12" s="18">
        <f t="shared" si="2"/>
        <v>112999.91403351865</v>
      </c>
    </row>
    <row r="13" spans="1:22" s="14" customFormat="1" ht="12" x14ac:dyDescent="0.25">
      <c r="A13" s="14" t="s">
        <v>74</v>
      </c>
      <c r="B13" s="15" t="s">
        <v>75</v>
      </c>
      <c r="C13" s="15" t="s">
        <v>76</v>
      </c>
      <c r="D13" s="15"/>
      <c r="E13" s="15"/>
      <c r="F13" s="15"/>
      <c r="G13" s="15"/>
      <c r="H13" s="15"/>
      <c r="I13" s="15" t="s">
        <v>77</v>
      </c>
      <c r="J13" s="15" t="s">
        <v>17</v>
      </c>
      <c r="K13" s="15" t="s">
        <v>78</v>
      </c>
      <c r="L13" s="15" t="s">
        <v>19</v>
      </c>
      <c r="M13" s="16">
        <v>45574</v>
      </c>
      <c r="N13" s="17">
        <v>1398.8</v>
      </c>
      <c r="O13" s="18">
        <f t="shared" si="1"/>
        <v>19583.2</v>
      </c>
      <c r="P13" s="18">
        <v>54079.289617486342</v>
      </c>
      <c r="Q13" s="18">
        <v>4632.0918032786885</v>
      </c>
      <c r="R13" s="18">
        <v>125892</v>
      </c>
      <c r="S13" s="18">
        <v>50402.787945205484</v>
      </c>
      <c r="T13" s="18">
        <f t="shared" si="0"/>
        <v>235006.16936597051</v>
      </c>
      <c r="U13" s="17">
        <v>20992.699698614921</v>
      </c>
      <c r="V13" s="18">
        <f t="shared" si="2"/>
        <v>214013.46966735559</v>
      </c>
    </row>
    <row r="14" spans="1:22" s="14" customFormat="1" ht="12" x14ac:dyDescent="0.25">
      <c r="A14" s="14" t="s">
        <v>79</v>
      </c>
      <c r="B14" s="15" t="s">
        <v>80</v>
      </c>
      <c r="C14" s="15" t="s">
        <v>81</v>
      </c>
      <c r="D14" s="15"/>
      <c r="E14" s="15"/>
      <c r="F14" s="15"/>
      <c r="G14" s="15"/>
      <c r="H14" s="15"/>
      <c r="I14" s="15" t="s">
        <v>82</v>
      </c>
      <c r="J14" s="15" t="s">
        <v>17</v>
      </c>
      <c r="K14" s="15" t="s">
        <v>83</v>
      </c>
      <c r="L14" s="15" t="s">
        <v>46</v>
      </c>
      <c r="M14" s="16">
        <v>45574</v>
      </c>
      <c r="N14" s="17">
        <v>1062.8499999999999</v>
      </c>
      <c r="O14" s="18">
        <f t="shared" si="1"/>
        <v>14879.899999999998</v>
      </c>
      <c r="P14" s="18">
        <v>41091.0587431694</v>
      </c>
      <c r="Q14" s="18">
        <v>3519.6016393442619</v>
      </c>
      <c r="R14" s="18">
        <v>88412.44023722627</v>
      </c>
      <c r="S14" s="18">
        <v>35397.272876712319</v>
      </c>
      <c r="T14" s="18">
        <f t="shared" si="0"/>
        <v>168420.37349645226</v>
      </c>
      <c r="U14" s="17">
        <v>12349.321316461586</v>
      </c>
      <c r="V14" s="18">
        <f t="shared" si="2"/>
        <v>156071.05217999069</v>
      </c>
    </row>
    <row r="15" spans="1:22" s="14" customFormat="1" ht="12" x14ac:dyDescent="0.25">
      <c r="A15" s="14" t="s">
        <v>84</v>
      </c>
      <c r="B15" s="15" t="s">
        <v>85</v>
      </c>
      <c r="C15" s="15" t="s">
        <v>86</v>
      </c>
      <c r="D15" s="15"/>
      <c r="E15" s="15"/>
      <c r="F15" s="15"/>
      <c r="G15" s="15"/>
      <c r="H15" s="15"/>
      <c r="I15" s="15" t="s">
        <v>87</v>
      </c>
      <c r="J15" s="15" t="s">
        <v>17</v>
      </c>
      <c r="K15" s="15" t="s">
        <v>88</v>
      </c>
      <c r="L15" s="15" t="s">
        <v>89</v>
      </c>
      <c r="M15" s="16">
        <v>45574</v>
      </c>
      <c r="N15" s="17">
        <v>759</v>
      </c>
      <c r="O15" s="18">
        <f t="shared" si="1"/>
        <v>10626</v>
      </c>
      <c r="P15" s="18">
        <v>29343.852459016398</v>
      </c>
      <c r="Q15" s="18">
        <v>2513.4098360655739</v>
      </c>
      <c r="R15" s="18">
        <v>19819.872262773722</v>
      </c>
      <c r="S15" s="18">
        <v>7935.1890410958913</v>
      </c>
      <c r="T15" s="18">
        <f t="shared" si="0"/>
        <v>59612.323598951582</v>
      </c>
      <c r="U15" s="17">
        <v>2057.7867356239335</v>
      </c>
      <c r="V15" s="18">
        <f t="shared" si="2"/>
        <v>57554.536863327645</v>
      </c>
    </row>
    <row r="16" spans="1:22" s="14" customFormat="1" ht="12" x14ac:dyDescent="0.25">
      <c r="A16" s="14" t="s">
        <v>90</v>
      </c>
      <c r="B16" s="15" t="s">
        <v>91</v>
      </c>
      <c r="C16" s="15" t="s">
        <v>92</v>
      </c>
      <c r="D16" s="15"/>
      <c r="E16" s="15"/>
      <c r="F16" s="15"/>
      <c r="G16" s="15"/>
      <c r="H16" s="15"/>
      <c r="I16" s="15" t="s">
        <v>93</v>
      </c>
      <c r="J16" s="15" t="s">
        <v>17</v>
      </c>
      <c r="K16" s="15" t="s">
        <v>94</v>
      </c>
      <c r="L16" s="15" t="s">
        <v>19</v>
      </c>
      <c r="M16" s="16">
        <v>45574</v>
      </c>
      <c r="N16" s="17">
        <v>1171.74</v>
      </c>
      <c r="O16" s="18">
        <f t="shared" si="1"/>
        <v>16404.36</v>
      </c>
      <c r="P16" s="18">
        <v>45300.877049180337</v>
      </c>
      <c r="Q16" s="18">
        <v>3880.1881967213117</v>
      </c>
      <c r="R16" s="18">
        <v>105456.6</v>
      </c>
      <c r="S16" s="18">
        <v>42221.162958904119</v>
      </c>
      <c r="T16" s="18">
        <f t="shared" si="0"/>
        <v>196858.82820480576</v>
      </c>
      <c r="U16" s="17">
        <v>15675.129668705737</v>
      </c>
      <c r="V16" s="18">
        <f t="shared" si="2"/>
        <v>181183.69853610001</v>
      </c>
    </row>
    <row r="17" spans="1:22" s="14" customFormat="1" ht="12" x14ac:dyDescent="0.25">
      <c r="A17" s="14" t="s">
        <v>95</v>
      </c>
      <c r="B17" s="15" t="s">
        <v>96</v>
      </c>
      <c r="C17" s="15" t="s">
        <v>97</v>
      </c>
      <c r="D17" s="15"/>
      <c r="E17" s="15"/>
      <c r="F17" s="15"/>
      <c r="G17" s="15"/>
      <c r="H17" s="15"/>
      <c r="I17" s="15" t="s">
        <v>98</v>
      </c>
      <c r="J17" s="15" t="s">
        <v>17</v>
      </c>
      <c r="K17" s="15" t="s">
        <v>99</v>
      </c>
      <c r="L17" s="15" t="s">
        <v>100</v>
      </c>
      <c r="M17" s="16">
        <v>45574</v>
      </c>
      <c r="N17" s="17">
        <v>1147.19</v>
      </c>
      <c r="O17" s="18">
        <f t="shared" si="1"/>
        <v>16060.66</v>
      </c>
      <c r="P17" s="18">
        <v>44351.744535519138</v>
      </c>
      <c r="Q17" s="18">
        <v>3798.8914754098364</v>
      </c>
      <c r="R17" s="18">
        <v>80732.449543795636</v>
      </c>
      <c r="S17" s="18">
        <v>32322.471123287673</v>
      </c>
      <c r="T17" s="18">
        <f t="shared" si="0"/>
        <v>161205.5566780123</v>
      </c>
      <c r="U17" s="17">
        <v>11855.725978478649</v>
      </c>
      <c r="V17" s="18">
        <f t="shared" si="2"/>
        <v>149349.83069953366</v>
      </c>
    </row>
    <row r="18" spans="1:22" s="14" customFormat="1" ht="12" x14ac:dyDescent="0.25">
      <c r="A18" s="14" t="s">
        <v>101</v>
      </c>
      <c r="B18" s="15" t="s">
        <v>102</v>
      </c>
      <c r="C18" s="15" t="s">
        <v>103</v>
      </c>
      <c r="D18" s="15" t="s">
        <v>104</v>
      </c>
      <c r="E18" s="15" t="s">
        <v>260</v>
      </c>
      <c r="F18" s="15" t="s">
        <v>261</v>
      </c>
      <c r="G18" s="15" t="s">
        <v>262</v>
      </c>
      <c r="H18" s="15" t="s">
        <v>263</v>
      </c>
      <c r="I18" s="15" t="s">
        <v>105</v>
      </c>
      <c r="J18" s="15" t="s">
        <v>17</v>
      </c>
      <c r="K18" s="15" t="s">
        <v>106</v>
      </c>
      <c r="L18" s="15" t="s">
        <v>19</v>
      </c>
      <c r="M18" s="16">
        <v>45574</v>
      </c>
      <c r="N18" s="17">
        <v>1321.61</v>
      </c>
      <c r="O18" s="18">
        <f t="shared" si="1"/>
        <v>18502.539999999997</v>
      </c>
      <c r="P18" s="18">
        <v>51095.03142076503</v>
      </c>
      <c r="Q18" s="18">
        <v>4376.4790163934422</v>
      </c>
      <c r="R18" s="18">
        <v>118944.9</v>
      </c>
      <c r="S18" s="18">
        <v>47621.410191780822</v>
      </c>
      <c r="T18" s="18">
        <f t="shared" si="0"/>
        <v>222037.82062893931</v>
      </c>
      <c r="U18" s="17">
        <v>19160.190055711559</v>
      </c>
      <c r="V18" s="18">
        <f t="shared" si="2"/>
        <v>202877.63057322777</v>
      </c>
    </row>
    <row r="19" spans="1:22" s="14" customFormat="1" ht="12" x14ac:dyDescent="0.25">
      <c r="A19" s="14" t="s">
        <v>107</v>
      </c>
      <c r="B19" s="15" t="s">
        <v>108</v>
      </c>
      <c r="C19" s="15" t="s">
        <v>109</v>
      </c>
      <c r="D19" s="15"/>
      <c r="E19" s="15"/>
      <c r="F19" s="15"/>
      <c r="G19" s="15"/>
      <c r="H19" s="15"/>
      <c r="I19" s="15" t="s">
        <v>110</v>
      </c>
      <c r="J19" s="15" t="s">
        <v>17</v>
      </c>
      <c r="K19" s="15" t="s">
        <v>111</v>
      </c>
      <c r="L19" s="15" t="s">
        <v>19</v>
      </c>
      <c r="M19" s="16">
        <v>45574</v>
      </c>
      <c r="N19" s="17">
        <v>1496.56</v>
      </c>
      <c r="O19" s="18">
        <f t="shared" si="1"/>
        <v>20951.84</v>
      </c>
      <c r="P19" s="18">
        <v>57858.808743169408</v>
      </c>
      <c r="Q19" s="18">
        <v>4955.8216393442626</v>
      </c>
      <c r="R19" s="18">
        <v>134690.4</v>
      </c>
      <c r="S19" s="18">
        <v>53925.361972602746</v>
      </c>
      <c r="T19" s="18">
        <f t="shared" si="0"/>
        <v>251430.3923551164</v>
      </c>
      <c r="U19" s="17">
        <v>23327.561327398671</v>
      </c>
      <c r="V19" s="18">
        <f t="shared" si="2"/>
        <v>228102.83102771774</v>
      </c>
    </row>
    <row r="20" spans="1:22" s="14" customFormat="1" ht="12" x14ac:dyDescent="0.25">
      <c r="A20" s="14" t="s">
        <v>112</v>
      </c>
      <c r="B20" s="15" t="s">
        <v>113</v>
      </c>
      <c r="C20" s="15" t="s">
        <v>114</v>
      </c>
      <c r="D20" s="15"/>
      <c r="E20" s="15"/>
      <c r="F20" s="15"/>
      <c r="G20" s="15"/>
      <c r="H20" s="15"/>
      <c r="I20" s="15" t="s">
        <v>115</v>
      </c>
      <c r="J20" s="15" t="s">
        <v>17</v>
      </c>
      <c r="K20" s="15" t="s">
        <v>116</v>
      </c>
      <c r="L20" s="15" t="s">
        <v>117</v>
      </c>
      <c r="M20" s="16">
        <v>45574</v>
      </c>
      <c r="N20" s="17">
        <v>886</v>
      </c>
      <c r="O20" s="18">
        <f t="shared" si="1"/>
        <v>12404</v>
      </c>
      <c r="P20" s="18">
        <v>34253.825136612024</v>
      </c>
      <c r="Q20" s="18">
        <v>2933.967213114754</v>
      </c>
      <c r="R20" s="18">
        <v>33831.295620437952</v>
      </c>
      <c r="S20" s="18">
        <v>13544.876712328765</v>
      </c>
      <c r="T20" s="18">
        <f t="shared" si="0"/>
        <v>84563.96468249349</v>
      </c>
      <c r="U20" s="17">
        <v>4096.2016861519805</v>
      </c>
      <c r="V20" s="18">
        <f t="shared" si="2"/>
        <v>80467.762996341509</v>
      </c>
    </row>
    <row r="21" spans="1:22" s="14" customFormat="1" ht="12" x14ac:dyDescent="0.25">
      <c r="A21" s="14" t="s">
        <v>118</v>
      </c>
      <c r="B21" s="15" t="s">
        <v>119</v>
      </c>
      <c r="C21" s="15" t="s">
        <v>120</v>
      </c>
      <c r="D21" s="15"/>
      <c r="E21" s="15"/>
      <c r="F21" s="15"/>
      <c r="G21" s="15"/>
      <c r="H21" s="15"/>
      <c r="I21" s="15" t="s">
        <v>110</v>
      </c>
      <c r="J21" s="15" t="s">
        <v>17</v>
      </c>
      <c r="K21" s="15" t="s">
        <v>121</v>
      </c>
      <c r="L21" s="15" t="s">
        <v>122</v>
      </c>
      <c r="M21" s="16">
        <v>45574</v>
      </c>
      <c r="N21" s="17">
        <v>944.65</v>
      </c>
      <c r="O21" s="18">
        <f t="shared" si="1"/>
        <v>13225.1</v>
      </c>
      <c r="P21" s="18">
        <v>36521.304644808748</v>
      </c>
      <c r="Q21" s="18">
        <v>3128.1852459016395</v>
      </c>
      <c r="R21" s="18">
        <v>84863.356751824802</v>
      </c>
      <c r="S21" s="18">
        <v>33976.343013698628</v>
      </c>
      <c r="T21" s="18">
        <f t="shared" si="0"/>
        <v>158489.18965623382</v>
      </c>
      <c r="U21" s="17">
        <v>10859.711519125029</v>
      </c>
      <c r="V21" s="18">
        <f t="shared" si="2"/>
        <v>147629.47813710879</v>
      </c>
    </row>
    <row r="22" spans="1:22" s="14" customFormat="1" ht="12" x14ac:dyDescent="0.25">
      <c r="A22" s="14" t="s">
        <v>123</v>
      </c>
      <c r="B22" s="15" t="s">
        <v>124</v>
      </c>
      <c r="C22" s="15" t="s">
        <v>125</v>
      </c>
      <c r="D22" s="15"/>
      <c r="E22" s="15"/>
      <c r="F22" s="15"/>
      <c r="G22" s="15"/>
      <c r="H22" s="15"/>
      <c r="I22" s="15" t="s">
        <v>61</v>
      </c>
      <c r="J22" s="15" t="s">
        <v>17</v>
      </c>
      <c r="K22" s="15" t="s">
        <v>126</v>
      </c>
      <c r="L22" s="15" t="s">
        <v>19</v>
      </c>
      <c r="M22" s="16">
        <v>45574</v>
      </c>
      <c r="N22" s="17">
        <v>1637.41</v>
      </c>
      <c r="O22" s="18">
        <f t="shared" si="1"/>
        <v>22923.74</v>
      </c>
      <c r="P22" s="18">
        <v>63304.239071038261</v>
      </c>
      <c r="Q22" s="18">
        <v>5422.2429508196728</v>
      </c>
      <c r="R22" s="18">
        <v>147366.9</v>
      </c>
      <c r="S22" s="18">
        <v>59000.59265753426</v>
      </c>
      <c r="T22" s="18">
        <f t="shared" si="0"/>
        <v>275093.97467939218</v>
      </c>
      <c r="U22" s="17">
        <v>26713.787259244531</v>
      </c>
      <c r="V22" s="18">
        <f t="shared" si="2"/>
        <v>248380.18742014765</v>
      </c>
    </row>
    <row r="23" spans="1:22" s="14" customFormat="1" ht="12" x14ac:dyDescent="0.25">
      <c r="A23" s="14" t="s">
        <v>127</v>
      </c>
      <c r="B23" s="15" t="s">
        <v>128</v>
      </c>
      <c r="C23" s="15" t="s">
        <v>129</v>
      </c>
      <c r="D23" s="15"/>
      <c r="E23" s="15"/>
      <c r="F23" s="15"/>
      <c r="G23" s="15"/>
      <c r="H23" s="15"/>
      <c r="I23" s="15" t="s">
        <v>82</v>
      </c>
      <c r="J23" s="15" t="s">
        <v>17</v>
      </c>
      <c r="K23" s="15" t="s">
        <v>130</v>
      </c>
      <c r="L23" s="15" t="s">
        <v>19</v>
      </c>
      <c r="M23" s="16">
        <v>45574</v>
      </c>
      <c r="N23" s="17">
        <v>1519.13</v>
      </c>
      <c r="O23" s="18">
        <f t="shared" si="1"/>
        <v>21267.82</v>
      </c>
      <c r="P23" s="18">
        <v>58731.392076502743</v>
      </c>
      <c r="Q23" s="18">
        <v>5030.5616393442624</v>
      </c>
      <c r="R23" s="18">
        <v>136721.70000000001</v>
      </c>
      <c r="S23" s="18">
        <v>54738.624000000011</v>
      </c>
      <c r="T23" s="18">
        <f t="shared" si="0"/>
        <v>255222.27771584701</v>
      </c>
      <c r="U23" s="17">
        <v>23868.557280411635</v>
      </c>
      <c r="V23" s="18">
        <f t="shared" si="2"/>
        <v>231353.72043543539</v>
      </c>
    </row>
    <row r="24" spans="1:22" s="14" customFormat="1" ht="12" x14ac:dyDescent="0.25">
      <c r="A24" s="14" t="s">
        <v>131</v>
      </c>
      <c r="B24" s="15" t="s">
        <v>132</v>
      </c>
      <c r="C24" s="15" t="s">
        <v>133</v>
      </c>
      <c r="D24" s="15"/>
      <c r="E24" s="15"/>
      <c r="F24" s="15"/>
      <c r="G24" s="15"/>
      <c r="H24" s="15"/>
      <c r="I24" s="15" t="s">
        <v>134</v>
      </c>
      <c r="J24" s="15" t="s">
        <v>17</v>
      </c>
      <c r="K24" s="15" t="s">
        <v>135</v>
      </c>
      <c r="L24" s="15" t="s">
        <v>136</v>
      </c>
      <c r="M24" s="16">
        <v>45574</v>
      </c>
      <c r="N24" s="17">
        <v>1062.8499999999999</v>
      </c>
      <c r="O24" s="18">
        <f t="shared" si="1"/>
        <v>14879.899999999998</v>
      </c>
      <c r="P24" s="18">
        <v>41091.0587431694</v>
      </c>
      <c r="Q24" s="18">
        <v>3519.6016393442619</v>
      </c>
      <c r="R24" s="18">
        <v>38664.078010948899</v>
      </c>
      <c r="S24" s="18">
        <v>15479.75506849315</v>
      </c>
      <c r="T24" s="18">
        <f t="shared" si="0"/>
        <v>98754.493461955703</v>
      </c>
      <c r="U24" s="17">
        <v>5400.542293378563</v>
      </c>
      <c r="V24" s="18">
        <f t="shared" si="2"/>
        <v>93353.951168577143</v>
      </c>
    </row>
    <row r="25" spans="1:22" s="14" customFormat="1" ht="12" x14ac:dyDescent="0.25">
      <c r="A25" s="14" t="s">
        <v>137</v>
      </c>
      <c r="B25" s="15" t="s">
        <v>138</v>
      </c>
      <c r="C25" s="15" t="s">
        <v>139</v>
      </c>
      <c r="D25" s="15"/>
      <c r="E25" s="15"/>
      <c r="F25" s="15"/>
      <c r="G25" s="15"/>
      <c r="H25" s="15"/>
      <c r="I25" s="15" t="s">
        <v>140</v>
      </c>
      <c r="J25" s="15" t="s">
        <v>17</v>
      </c>
      <c r="K25" s="15" t="s">
        <v>141</v>
      </c>
      <c r="L25" s="15" t="s">
        <v>142</v>
      </c>
      <c r="M25" s="16">
        <v>45574</v>
      </c>
      <c r="N25" s="17">
        <v>1846</v>
      </c>
      <c r="O25" s="18">
        <f t="shared" si="1"/>
        <v>25844</v>
      </c>
      <c r="P25" s="18">
        <v>71368.579234972683</v>
      </c>
      <c r="Q25" s="18">
        <v>6112.9836065573772</v>
      </c>
      <c r="R25" s="18">
        <v>166140</v>
      </c>
      <c r="S25" s="18">
        <v>132305.09589041094</v>
      </c>
      <c r="T25" s="18">
        <f t="shared" si="0"/>
        <v>375926.65873194102</v>
      </c>
      <c r="U25" s="17">
        <v>37509.752325184541</v>
      </c>
      <c r="V25" s="18">
        <f t="shared" si="2"/>
        <v>338416.90640675649</v>
      </c>
    </row>
    <row r="26" spans="1:22" s="14" customFormat="1" ht="12" x14ac:dyDescent="0.25">
      <c r="A26" s="14" t="s">
        <v>143</v>
      </c>
      <c r="B26" s="15" t="s">
        <v>144</v>
      </c>
      <c r="C26" s="15" t="s">
        <v>145</v>
      </c>
      <c r="D26" s="15"/>
      <c r="E26" s="15"/>
      <c r="F26" s="15"/>
      <c r="G26" s="15"/>
      <c r="H26" s="15"/>
      <c r="I26" s="15" t="s">
        <v>146</v>
      </c>
      <c r="J26" s="15" t="s">
        <v>17</v>
      </c>
      <c r="K26" s="14" t="s">
        <v>147</v>
      </c>
      <c r="L26" s="15" t="s">
        <v>148</v>
      </c>
      <c r="M26" s="16">
        <v>45574</v>
      </c>
      <c r="N26" s="17">
        <v>975.24</v>
      </c>
      <c r="O26" s="18">
        <f t="shared" si="1"/>
        <v>13653.36</v>
      </c>
      <c r="P26" s="18">
        <v>37703.950819672136</v>
      </c>
      <c r="Q26" s="18">
        <v>3229.4832786885249</v>
      </c>
      <c r="R26" s="18">
        <v>70873.965328467151</v>
      </c>
      <c r="S26" s="18">
        <v>28375.476164383559</v>
      </c>
      <c r="T26" s="18">
        <f t="shared" si="0"/>
        <v>140182.87559121137</v>
      </c>
      <c r="U26" s="17">
        <v>9295.02</v>
      </c>
      <c r="V26" s="18">
        <f t="shared" si="2"/>
        <v>130887.85559121137</v>
      </c>
    </row>
    <row r="27" spans="1:22" s="14" customFormat="1" ht="12" x14ac:dyDescent="0.25">
      <c r="A27" s="14" t="s">
        <v>149</v>
      </c>
      <c r="B27" s="15" t="s">
        <v>150</v>
      </c>
      <c r="C27" s="15" t="s">
        <v>151</v>
      </c>
      <c r="D27" s="15"/>
      <c r="E27" s="15"/>
      <c r="F27" s="15"/>
      <c r="G27" s="15"/>
      <c r="H27" s="15"/>
      <c r="I27" s="15" t="s">
        <v>152</v>
      </c>
      <c r="J27" s="15" t="s">
        <v>17</v>
      </c>
      <c r="K27" s="15" t="s">
        <v>153</v>
      </c>
      <c r="L27" s="15" t="s">
        <v>154</v>
      </c>
      <c r="M27" s="16">
        <v>45574</v>
      </c>
      <c r="N27" s="17">
        <v>1062.8499999999999</v>
      </c>
      <c r="O27" s="18">
        <f t="shared" si="1"/>
        <v>14879.899999999998</v>
      </c>
      <c r="P27" s="18">
        <v>41091.0587431694</v>
      </c>
      <c r="Q27" s="18">
        <v>3519.6016393442619</v>
      </c>
      <c r="R27" s="18">
        <v>55857.810218978091</v>
      </c>
      <c r="S27" s="18">
        <v>22363.528767123284</v>
      </c>
      <c r="T27" s="18">
        <f t="shared" si="0"/>
        <v>122831.99936861503</v>
      </c>
      <c r="U27" s="17">
        <v>7802.1378504791883</v>
      </c>
      <c r="V27" s="18">
        <f t="shared" si="2"/>
        <v>115029.86151813583</v>
      </c>
    </row>
    <row r="28" spans="1:22" s="14" customFormat="1" ht="12" x14ac:dyDescent="0.25">
      <c r="A28" s="14" t="s">
        <v>155</v>
      </c>
      <c r="B28" s="15" t="s">
        <v>156</v>
      </c>
      <c r="C28" s="15" t="s">
        <v>157</v>
      </c>
      <c r="D28" s="15"/>
      <c r="E28" s="15"/>
      <c r="F28" s="15"/>
      <c r="G28" s="15"/>
      <c r="H28" s="15"/>
      <c r="I28" s="15" t="s">
        <v>158</v>
      </c>
      <c r="J28" s="15" t="s">
        <v>17</v>
      </c>
      <c r="K28" s="15" t="s">
        <v>159</v>
      </c>
      <c r="L28" s="15" t="s">
        <v>19</v>
      </c>
      <c r="M28" s="16">
        <v>45574</v>
      </c>
      <c r="N28" s="17">
        <v>975.24</v>
      </c>
      <c r="O28" s="18">
        <f t="shared" si="1"/>
        <v>13653.36</v>
      </c>
      <c r="P28" s="18">
        <v>37703.950819672136</v>
      </c>
      <c r="Q28" s="18">
        <v>3229.4832786885249</v>
      </c>
      <c r="R28" s="18">
        <v>87771.6</v>
      </c>
      <c r="S28" s="18">
        <v>35140.702684931515</v>
      </c>
      <c r="T28" s="18">
        <f t="shared" si="0"/>
        <v>163845.73678329217</v>
      </c>
      <c r="U28" s="17">
        <v>11500.187024039145</v>
      </c>
      <c r="V28" s="18">
        <f t="shared" si="2"/>
        <v>152345.54975925302</v>
      </c>
    </row>
    <row r="29" spans="1:22" s="14" customFormat="1" ht="12" x14ac:dyDescent="0.25">
      <c r="A29" s="14" t="s">
        <v>160</v>
      </c>
      <c r="B29" s="15" t="s">
        <v>161</v>
      </c>
      <c r="C29" s="15" t="s">
        <v>162</v>
      </c>
      <c r="D29" s="15"/>
      <c r="E29" s="15"/>
      <c r="F29" s="15"/>
      <c r="G29" s="15"/>
      <c r="H29" s="15"/>
      <c r="I29" s="15" t="s">
        <v>163</v>
      </c>
      <c r="J29" s="15" t="s">
        <v>17</v>
      </c>
      <c r="K29" s="15" t="s">
        <v>164</v>
      </c>
      <c r="L29" s="15" t="s">
        <v>154</v>
      </c>
      <c r="M29" s="16">
        <v>45574</v>
      </c>
      <c r="N29" s="17">
        <v>838.77</v>
      </c>
      <c r="O29" s="18">
        <f t="shared" si="1"/>
        <v>11742.779999999999</v>
      </c>
      <c r="P29" s="18">
        <v>32427.856557377054</v>
      </c>
      <c r="Q29" s="18">
        <v>2777.5662295081966</v>
      </c>
      <c r="R29" s="18">
        <v>44081.343065693429</v>
      </c>
      <c r="S29" s="18">
        <v>17648.64</v>
      </c>
      <c r="T29" s="18">
        <f t="shared" si="0"/>
        <v>96935.405852578682</v>
      </c>
      <c r="U29" s="17">
        <v>5072.5268593225837</v>
      </c>
      <c r="V29" s="18">
        <f t="shared" si="2"/>
        <v>91862.878993256105</v>
      </c>
    </row>
    <row r="30" spans="1:22" s="14" customFormat="1" ht="12" x14ac:dyDescent="0.25">
      <c r="A30" s="14" t="s">
        <v>165</v>
      </c>
      <c r="B30" s="15" t="s">
        <v>166</v>
      </c>
      <c r="C30" s="15" t="s">
        <v>167</v>
      </c>
      <c r="D30" s="15"/>
      <c r="E30" s="15"/>
      <c r="F30" s="15"/>
      <c r="G30" s="15"/>
      <c r="H30" s="15"/>
      <c r="I30" s="15" t="s">
        <v>39</v>
      </c>
      <c r="J30" s="15" t="s">
        <v>17</v>
      </c>
      <c r="K30" s="15" t="s">
        <v>168</v>
      </c>
      <c r="L30" s="15" t="s">
        <v>19</v>
      </c>
      <c r="M30" s="16">
        <v>45574</v>
      </c>
      <c r="N30" s="17">
        <v>1031.98</v>
      </c>
      <c r="O30" s="18">
        <f t="shared" si="1"/>
        <v>14447.720000000001</v>
      </c>
      <c r="P30" s="18">
        <v>39897.587431693995</v>
      </c>
      <c r="Q30" s="18">
        <v>3417.3763934426233</v>
      </c>
      <c r="R30" s="18">
        <v>92878.2</v>
      </c>
      <c r="S30" s="18">
        <v>37185.208109589046</v>
      </c>
      <c r="T30" s="18">
        <f t="shared" si="0"/>
        <v>173378.37193472567</v>
      </c>
      <c r="U30" s="17">
        <v>12694.755390295151</v>
      </c>
      <c r="V30" s="18">
        <f t="shared" si="2"/>
        <v>160683.61654443052</v>
      </c>
    </row>
    <row r="31" spans="1:22" s="14" customFormat="1" ht="12" x14ac:dyDescent="0.25">
      <c r="A31" s="14" t="s">
        <v>169</v>
      </c>
      <c r="B31" s="15" t="s">
        <v>170</v>
      </c>
      <c r="C31" s="15" t="s">
        <v>171</v>
      </c>
      <c r="D31" s="15"/>
      <c r="E31" s="15"/>
      <c r="F31" s="15"/>
      <c r="G31" s="15"/>
      <c r="H31" s="15"/>
      <c r="I31" s="15" t="s">
        <v>172</v>
      </c>
      <c r="J31" s="15" t="s">
        <v>17</v>
      </c>
      <c r="K31" s="15" t="s">
        <v>173</v>
      </c>
      <c r="L31" s="15" t="s">
        <v>174</v>
      </c>
      <c r="M31" s="16">
        <v>45574</v>
      </c>
      <c r="N31" s="17">
        <v>1846</v>
      </c>
      <c r="O31" s="18">
        <f t="shared" si="1"/>
        <v>25844</v>
      </c>
      <c r="P31" s="18">
        <v>71368.579234972683</v>
      </c>
      <c r="Q31" s="18">
        <v>6112.9836065573772</v>
      </c>
      <c r="R31" s="18">
        <v>166140</v>
      </c>
      <c r="S31" s="18">
        <v>199550.07123287668</v>
      </c>
      <c r="T31" s="18">
        <f t="shared" si="0"/>
        <v>443171.63407440676</v>
      </c>
      <c r="U31" s="17">
        <v>43381.552406568415</v>
      </c>
      <c r="V31" s="18">
        <f t="shared" si="2"/>
        <v>399790.08166783833</v>
      </c>
    </row>
    <row r="32" spans="1:22" s="14" customFormat="1" ht="12" x14ac:dyDescent="0.25">
      <c r="A32" s="14" t="s">
        <v>175</v>
      </c>
      <c r="B32" s="15" t="s">
        <v>176</v>
      </c>
      <c r="C32" s="15" t="s">
        <v>177</v>
      </c>
      <c r="D32" s="15"/>
      <c r="E32" s="15"/>
      <c r="F32" s="15"/>
      <c r="G32" s="15"/>
      <c r="H32" s="15"/>
      <c r="I32" s="15" t="s">
        <v>178</v>
      </c>
      <c r="J32" s="15" t="s">
        <v>17</v>
      </c>
      <c r="K32" s="15" t="s">
        <v>179</v>
      </c>
      <c r="L32" s="15" t="s">
        <v>19</v>
      </c>
      <c r="M32" s="16">
        <v>45574</v>
      </c>
      <c r="N32" s="17">
        <v>1062.8499999999999</v>
      </c>
      <c r="O32" s="18">
        <f t="shared" si="1"/>
        <v>14879.899999999998</v>
      </c>
      <c r="P32" s="18">
        <v>41091.0587431694</v>
      </c>
      <c r="Q32" s="18">
        <v>3519.6016393442619</v>
      </c>
      <c r="R32" s="18">
        <v>95656.499999999985</v>
      </c>
      <c r="S32" s="18">
        <v>38297.543013698632</v>
      </c>
      <c r="T32" s="18">
        <f t="shared" si="0"/>
        <v>178564.70339621228</v>
      </c>
      <c r="U32" s="17">
        <v>13348.792440016696</v>
      </c>
      <c r="V32" s="18">
        <f t="shared" si="2"/>
        <v>165215.91095619558</v>
      </c>
    </row>
    <row r="33" spans="1:22" s="14" customFormat="1" ht="12" x14ac:dyDescent="0.25">
      <c r="A33" s="14" t="s">
        <v>180</v>
      </c>
      <c r="B33" s="15" t="s">
        <v>181</v>
      </c>
      <c r="C33" s="15" t="s">
        <v>182</v>
      </c>
      <c r="D33" s="15"/>
      <c r="E33" s="15"/>
      <c r="F33" s="15"/>
      <c r="G33" s="15"/>
      <c r="H33" s="15"/>
      <c r="I33" s="15" t="s">
        <v>183</v>
      </c>
      <c r="J33" s="15" t="s">
        <v>17</v>
      </c>
      <c r="K33" s="15" t="s">
        <v>184</v>
      </c>
      <c r="L33" s="15" t="s">
        <v>19</v>
      </c>
      <c r="M33" s="16">
        <v>45574</v>
      </c>
      <c r="N33" s="17">
        <v>1129</v>
      </c>
      <c r="O33" s="18">
        <f t="shared" si="1"/>
        <v>15806</v>
      </c>
      <c r="P33" s="18">
        <v>43648.497267759572</v>
      </c>
      <c r="Q33" s="18">
        <v>3738.655737704918</v>
      </c>
      <c r="R33" s="18">
        <v>101610</v>
      </c>
      <c r="S33" s="18">
        <v>40681.117808219184</v>
      </c>
      <c r="T33" s="18">
        <f t="shared" si="0"/>
        <v>189678.27081368369</v>
      </c>
      <c r="U33" s="17">
        <v>14758.751582740177</v>
      </c>
      <c r="V33" s="18">
        <f t="shared" si="2"/>
        <v>174919.51923094352</v>
      </c>
    </row>
    <row r="34" spans="1:22" s="14" customFormat="1" ht="12" x14ac:dyDescent="0.25">
      <c r="A34" s="14" t="s">
        <v>185</v>
      </c>
      <c r="B34" s="15" t="s">
        <v>186</v>
      </c>
      <c r="C34" s="15" t="s">
        <v>187</v>
      </c>
      <c r="D34" s="15"/>
      <c r="E34" s="15"/>
      <c r="F34" s="15"/>
      <c r="G34" s="15"/>
      <c r="H34" s="15"/>
      <c r="I34" s="15" t="s">
        <v>188</v>
      </c>
      <c r="J34" s="15" t="s">
        <v>17</v>
      </c>
      <c r="K34" s="14" t="s">
        <v>189</v>
      </c>
      <c r="L34" s="15" t="s">
        <v>190</v>
      </c>
      <c r="M34" s="16">
        <v>45574</v>
      </c>
      <c r="N34" s="17">
        <v>1031.98</v>
      </c>
      <c r="O34" s="18">
        <f t="shared" si="1"/>
        <v>14447.720000000001</v>
      </c>
      <c r="P34" s="18">
        <v>18186.532786885251</v>
      </c>
      <c r="Q34" s="18">
        <v>3417.3763934426233</v>
      </c>
      <c r="R34" s="18">
        <v>10931.831934306569</v>
      </c>
      <c r="S34" s="18">
        <v>4376.7261369863018</v>
      </c>
      <c r="T34" s="18">
        <f t="shared" si="0"/>
        <v>36912.46725162075</v>
      </c>
      <c r="U34" s="17">
        <v>1495.5769528082924</v>
      </c>
      <c r="V34" s="18">
        <f t="shared" si="2"/>
        <v>35416.890298812461</v>
      </c>
    </row>
    <row r="35" spans="1:22" s="14" customFormat="1" ht="12" x14ac:dyDescent="0.25">
      <c r="A35" s="14" t="s">
        <v>191</v>
      </c>
      <c r="B35" s="15" t="s">
        <v>192</v>
      </c>
      <c r="C35" s="15" t="s">
        <v>193</v>
      </c>
      <c r="D35" s="15"/>
      <c r="E35" s="15"/>
      <c r="F35" s="15"/>
      <c r="G35" s="15"/>
      <c r="H35" s="15"/>
      <c r="I35" s="15" t="s">
        <v>61</v>
      </c>
      <c r="J35" s="15" t="s">
        <v>17</v>
      </c>
      <c r="K35" s="15" t="s">
        <v>194</v>
      </c>
      <c r="L35" s="15" t="s">
        <v>195</v>
      </c>
      <c r="M35" s="16">
        <v>45574</v>
      </c>
      <c r="N35" s="17">
        <v>1062.8499999999999</v>
      </c>
      <c r="O35" s="18">
        <f t="shared" si="1"/>
        <v>14879.899999999998</v>
      </c>
      <c r="P35" s="18">
        <v>41091.0587431694</v>
      </c>
      <c r="Q35" s="18">
        <v>3519.6016393442619</v>
      </c>
      <c r="R35" s="18">
        <v>42329.746806569339</v>
      </c>
      <c r="S35" s="18">
        <v>16947.361643835615</v>
      </c>
      <c r="T35" s="18">
        <f t="shared" si="0"/>
        <v>103887.76883291861</v>
      </c>
      <c r="U35" s="17">
        <v>5912.5571444515208</v>
      </c>
      <c r="V35" s="18">
        <f t="shared" si="2"/>
        <v>97975.211688467083</v>
      </c>
    </row>
    <row r="36" spans="1:22" s="14" customFormat="1" ht="12" x14ac:dyDescent="0.25">
      <c r="A36" s="14" t="s">
        <v>196</v>
      </c>
      <c r="B36" s="15" t="s">
        <v>197</v>
      </c>
      <c r="C36" s="15" t="s">
        <v>198</v>
      </c>
      <c r="D36" s="15"/>
      <c r="E36" s="15"/>
      <c r="F36" s="15"/>
      <c r="G36" s="15"/>
      <c r="H36" s="15"/>
      <c r="I36" s="15" t="s">
        <v>199</v>
      </c>
      <c r="J36" s="15" t="s">
        <v>17</v>
      </c>
      <c r="K36" s="15" t="s">
        <v>200</v>
      </c>
      <c r="L36" s="15" t="s">
        <v>19</v>
      </c>
      <c r="M36" s="16">
        <v>45574</v>
      </c>
      <c r="N36" s="17">
        <v>1156.6300000000001</v>
      </c>
      <c r="O36" s="18">
        <f t="shared" si="1"/>
        <v>16192.820000000002</v>
      </c>
      <c r="P36" s="18">
        <v>44716.706284153013</v>
      </c>
      <c r="Q36" s="18">
        <v>3830.1518032786889</v>
      </c>
      <c r="R36" s="18">
        <v>104096.70000000001</v>
      </c>
      <c r="S36" s="18">
        <v>41676.706191780831</v>
      </c>
      <c r="T36" s="18">
        <f t="shared" si="0"/>
        <v>194320.26427921254</v>
      </c>
      <c r="U36" s="17">
        <v>15350.713978446169</v>
      </c>
      <c r="V36" s="18">
        <f t="shared" si="2"/>
        <v>178969.55030076636</v>
      </c>
    </row>
    <row r="37" spans="1:22" s="14" customFormat="1" ht="12" x14ac:dyDescent="0.25">
      <c r="A37" s="14" t="s">
        <v>201</v>
      </c>
      <c r="B37" s="15" t="s">
        <v>202</v>
      </c>
      <c r="C37" s="15" t="s">
        <v>203</v>
      </c>
      <c r="D37" s="15"/>
      <c r="E37" s="15"/>
      <c r="F37" s="15"/>
      <c r="G37" s="15"/>
      <c r="H37" s="15"/>
      <c r="I37" s="15" t="s">
        <v>33</v>
      </c>
      <c r="J37" s="15" t="s">
        <v>17</v>
      </c>
      <c r="K37" s="15" t="s">
        <v>204</v>
      </c>
      <c r="L37" s="15" t="s">
        <v>205</v>
      </c>
      <c r="M37" s="16">
        <v>45574</v>
      </c>
      <c r="N37" s="17">
        <v>702.76</v>
      </c>
      <c r="O37" s="18">
        <f t="shared" si="1"/>
        <v>9838.64</v>
      </c>
      <c r="P37" s="18">
        <v>27169.546448087436</v>
      </c>
      <c r="Q37" s="18">
        <v>2327.1724590163935</v>
      </c>
      <c r="R37" s="18">
        <v>55688.600364963502</v>
      </c>
      <c r="S37" s="18">
        <v>22295.78301369863</v>
      </c>
      <c r="T37" s="18">
        <f t="shared" si="0"/>
        <v>107481.10228576597</v>
      </c>
      <c r="U37" s="17">
        <v>5262.5504759098685</v>
      </c>
      <c r="V37" s="18">
        <f t="shared" si="2"/>
        <v>102218.5518098561</v>
      </c>
    </row>
    <row r="38" spans="1:22" s="14" customFormat="1" ht="12" x14ac:dyDescent="0.25">
      <c r="A38" s="14" t="s">
        <v>206</v>
      </c>
      <c r="B38" s="15" t="s">
        <v>207</v>
      </c>
      <c r="C38" s="15" t="s">
        <v>208</v>
      </c>
      <c r="D38" s="15"/>
      <c r="E38" s="15"/>
      <c r="F38" s="15"/>
      <c r="G38" s="15"/>
      <c r="H38" s="15"/>
      <c r="I38" s="15" t="s">
        <v>158</v>
      </c>
      <c r="J38" s="15" t="s">
        <v>17</v>
      </c>
      <c r="K38" s="15" t="s">
        <v>209</v>
      </c>
      <c r="L38" s="15" t="s">
        <v>19</v>
      </c>
      <c r="M38" s="16">
        <v>45574</v>
      </c>
      <c r="N38" s="17">
        <v>753.81</v>
      </c>
      <c r="O38" s="18">
        <f t="shared" si="1"/>
        <v>10553.34</v>
      </c>
      <c r="P38" s="18">
        <v>29143.200819672133</v>
      </c>
      <c r="Q38" s="18">
        <v>2496.2232786885247</v>
      </c>
      <c r="R38" s="18">
        <v>67842.899999999994</v>
      </c>
      <c r="S38" s="18">
        <v>27161.94279452055</v>
      </c>
      <c r="T38" s="18">
        <f t="shared" si="0"/>
        <v>126644.26689288121</v>
      </c>
      <c r="U38" s="17">
        <v>6970.7954387219161</v>
      </c>
      <c r="V38" s="18">
        <f t="shared" si="2"/>
        <v>119673.47145415928</v>
      </c>
    </row>
    <row r="39" spans="1:22" s="14" customFormat="1" ht="12" x14ac:dyDescent="0.25">
      <c r="A39" s="14" t="s">
        <v>210</v>
      </c>
      <c r="B39" s="15" t="s">
        <v>211</v>
      </c>
      <c r="C39" s="15" t="s">
        <v>212</v>
      </c>
      <c r="D39" s="15"/>
      <c r="E39" s="15"/>
      <c r="F39" s="15"/>
      <c r="G39" s="15"/>
      <c r="H39" s="15"/>
      <c r="I39" s="15" t="s">
        <v>188</v>
      </c>
      <c r="J39" s="15" t="s">
        <v>17</v>
      </c>
      <c r="K39" s="15" t="s">
        <v>213</v>
      </c>
      <c r="L39" s="15" t="s">
        <v>19</v>
      </c>
      <c r="M39" s="16">
        <v>45574</v>
      </c>
      <c r="N39" s="17">
        <v>1637.41</v>
      </c>
      <c r="O39" s="18">
        <f t="shared" si="1"/>
        <v>22923.74</v>
      </c>
      <c r="P39" s="18">
        <v>63304.239071038261</v>
      </c>
      <c r="Q39" s="18">
        <v>5422.2429508196728</v>
      </c>
      <c r="R39" s="18">
        <v>147366.9</v>
      </c>
      <c r="S39" s="18">
        <v>59000.59265753426</v>
      </c>
      <c r="T39" s="18">
        <f t="shared" si="0"/>
        <v>275093.97467939218</v>
      </c>
      <c r="U39" s="17">
        <v>26713.787259244531</v>
      </c>
      <c r="V39" s="18">
        <f t="shared" si="2"/>
        <v>248380.18742014765</v>
      </c>
    </row>
    <row r="40" spans="1:22" s="14" customFormat="1" ht="12" x14ac:dyDescent="0.25">
      <c r="A40" s="14" t="s">
        <v>214</v>
      </c>
      <c r="B40" s="15" t="s">
        <v>215</v>
      </c>
      <c r="C40" s="15" t="s">
        <v>216</v>
      </c>
      <c r="D40" s="15"/>
      <c r="E40" s="15"/>
      <c r="F40" s="15"/>
      <c r="G40" s="15"/>
      <c r="H40" s="15"/>
      <c r="I40" s="15" t="s">
        <v>188</v>
      </c>
      <c r="J40" s="15" t="s">
        <v>17</v>
      </c>
      <c r="K40" s="15" t="s">
        <v>217</v>
      </c>
      <c r="L40" s="15" t="s">
        <v>19</v>
      </c>
      <c r="M40" s="16">
        <v>45574</v>
      </c>
      <c r="N40" s="17">
        <v>1031.98</v>
      </c>
      <c r="O40" s="18">
        <f t="shared" si="1"/>
        <v>14447.720000000001</v>
      </c>
      <c r="P40" s="18">
        <v>39897.587431693995</v>
      </c>
      <c r="Q40" s="18">
        <v>3417.3763934426233</v>
      </c>
      <c r="R40" s="18">
        <v>92878.2</v>
      </c>
      <c r="S40" s="18">
        <v>37185.208109589046</v>
      </c>
      <c r="T40" s="18">
        <f t="shared" si="0"/>
        <v>173378.37193472567</v>
      </c>
      <c r="U40" s="17">
        <v>12694.745151974406</v>
      </c>
      <c r="V40" s="18">
        <f t="shared" si="2"/>
        <v>160683.62678275126</v>
      </c>
    </row>
    <row r="41" spans="1:22" s="14" customFormat="1" ht="12" x14ac:dyDescent="0.25">
      <c r="A41" s="14" t="s">
        <v>218</v>
      </c>
      <c r="B41" s="15" t="s">
        <v>219</v>
      </c>
      <c r="C41" s="15" t="s">
        <v>220</v>
      </c>
      <c r="D41" s="15"/>
      <c r="E41" s="15"/>
      <c r="F41" s="15"/>
      <c r="G41" s="15"/>
      <c r="H41" s="15"/>
      <c r="I41" s="15" t="s">
        <v>221</v>
      </c>
      <c r="J41" s="15" t="s">
        <v>17</v>
      </c>
      <c r="K41" s="15" t="s">
        <v>222</v>
      </c>
      <c r="L41" s="15" t="s">
        <v>223</v>
      </c>
      <c r="M41" s="16">
        <v>45574</v>
      </c>
      <c r="N41" s="17">
        <v>1637.41</v>
      </c>
      <c r="O41" s="18">
        <f t="shared" si="1"/>
        <v>22923.74</v>
      </c>
      <c r="P41" s="18">
        <v>63304.239071038261</v>
      </c>
      <c r="Q41" s="18">
        <v>5422.2429508196728</v>
      </c>
      <c r="R41" s="18">
        <v>81347.604470802922</v>
      </c>
      <c r="S41" s="18">
        <v>32568.757808219179</v>
      </c>
      <c r="T41" s="18">
        <f t="shared" si="0"/>
        <v>182642.84430088004</v>
      </c>
      <c r="U41" s="17">
        <v>14758.644793345045</v>
      </c>
      <c r="V41" s="18">
        <f t="shared" si="2"/>
        <v>167884.199507535</v>
      </c>
    </row>
    <row r="42" spans="1:22" s="14" customFormat="1" ht="12" x14ac:dyDescent="0.25">
      <c r="A42" s="14" t="s">
        <v>224</v>
      </c>
      <c r="B42" s="15" t="s">
        <v>225</v>
      </c>
      <c r="C42" s="15" t="s">
        <v>226</v>
      </c>
      <c r="D42" s="15"/>
      <c r="E42" s="15"/>
      <c r="F42" s="15"/>
      <c r="G42" s="15"/>
      <c r="H42" s="15"/>
      <c r="I42" s="15" t="s">
        <v>227</v>
      </c>
      <c r="J42" s="15" t="s">
        <v>17</v>
      </c>
      <c r="K42" s="15" t="s">
        <v>228</v>
      </c>
      <c r="L42" s="15" t="s">
        <v>19</v>
      </c>
      <c r="M42" s="16">
        <v>45574</v>
      </c>
      <c r="N42" s="17">
        <v>1637.41</v>
      </c>
      <c r="O42" s="18">
        <f t="shared" si="1"/>
        <v>22923.74</v>
      </c>
      <c r="P42" s="18">
        <v>63304.239071038261</v>
      </c>
      <c r="Q42" s="18">
        <v>5422.2429508196728</v>
      </c>
      <c r="R42" s="18">
        <v>147366.9</v>
      </c>
      <c r="S42" s="18">
        <v>59000.59265753426</v>
      </c>
      <c r="T42" s="18">
        <f t="shared" si="0"/>
        <v>275093.97467939218</v>
      </c>
      <c r="U42" s="17">
        <v>26713.787259244531</v>
      </c>
      <c r="V42" s="18">
        <f t="shared" si="2"/>
        <v>248380.18742014765</v>
      </c>
    </row>
    <row r="43" spans="1:22" s="14" customFormat="1" ht="12" x14ac:dyDescent="0.25">
      <c r="A43" s="14" t="s">
        <v>229</v>
      </c>
      <c r="B43" s="15" t="s">
        <v>230</v>
      </c>
      <c r="C43" s="15" t="s">
        <v>231</v>
      </c>
      <c r="D43" s="15"/>
      <c r="E43" s="15"/>
      <c r="F43" s="15"/>
      <c r="G43" s="15"/>
      <c r="H43" s="15"/>
      <c r="I43" s="15" t="s">
        <v>232</v>
      </c>
      <c r="J43" s="15" t="s">
        <v>17</v>
      </c>
      <c r="K43" s="15" t="s">
        <v>233</v>
      </c>
      <c r="L43" s="15" t="s">
        <v>234</v>
      </c>
      <c r="M43" s="16">
        <v>45574</v>
      </c>
      <c r="N43" s="17">
        <v>1519.13</v>
      </c>
      <c r="O43" s="18">
        <f t="shared" si="1"/>
        <v>21267.82</v>
      </c>
      <c r="P43" s="18">
        <v>58731.392076502743</v>
      </c>
      <c r="Q43" s="18">
        <v>5030.5616393442624</v>
      </c>
      <c r="R43" s="18">
        <v>136721.70000000001</v>
      </c>
      <c r="S43" s="18">
        <v>100287.552</v>
      </c>
      <c r="T43" s="18">
        <f t="shared" si="0"/>
        <v>300771.20571584697</v>
      </c>
      <c r="U43" s="17">
        <v>26980.090233620762</v>
      </c>
      <c r="V43" s="18">
        <f t="shared" si="2"/>
        <v>273791.11548222619</v>
      </c>
    </row>
    <row r="44" spans="1:22" s="14" customFormat="1" ht="12" x14ac:dyDescent="0.25">
      <c r="A44" s="14" t="s">
        <v>235</v>
      </c>
      <c r="B44" s="15" t="s">
        <v>236</v>
      </c>
      <c r="C44" s="15" t="s">
        <v>237</v>
      </c>
      <c r="D44" s="15"/>
      <c r="E44" s="15"/>
      <c r="F44" s="15"/>
      <c r="G44" s="15"/>
      <c r="H44" s="15"/>
      <c r="I44" s="15" t="s">
        <v>238</v>
      </c>
      <c r="J44" s="15" t="s">
        <v>17</v>
      </c>
      <c r="K44" s="15" t="s">
        <v>239</v>
      </c>
      <c r="L44" s="15" t="s">
        <v>19</v>
      </c>
      <c r="M44" s="16">
        <v>45574</v>
      </c>
      <c r="N44" s="17">
        <v>944.65</v>
      </c>
      <c r="O44" s="18">
        <f t="shared" si="1"/>
        <v>13225.1</v>
      </c>
      <c r="P44" s="18">
        <v>36521.304644808748</v>
      </c>
      <c r="Q44" s="18">
        <v>3128.1852459016395</v>
      </c>
      <c r="R44" s="18">
        <v>85018.5</v>
      </c>
      <c r="S44" s="18">
        <v>34038.456986301375</v>
      </c>
      <c r="T44" s="18">
        <f t="shared" si="0"/>
        <v>158706.44687701177</v>
      </c>
      <c r="U44" s="17">
        <v>10860.749268896216</v>
      </c>
      <c r="V44" s="18">
        <f t="shared" si="2"/>
        <v>147845.69760811556</v>
      </c>
    </row>
    <row r="45" spans="1:22" s="14" customFormat="1" ht="12" x14ac:dyDescent="0.25">
      <c r="A45" s="14" t="s">
        <v>240</v>
      </c>
      <c r="B45" s="15" t="s">
        <v>241</v>
      </c>
      <c r="C45" s="15" t="s">
        <v>242</v>
      </c>
      <c r="D45" s="15"/>
      <c r="E45" s="15"/>
      <c r="F45" s="15"/>
      <c r="G45" s="15"/>
      <c r="H45" s="15"/>
      <c r="I45" s="15" t="s">
        <v>243</v>
      </c>
      <c r="J45" s="15" t="s">
        <v>17</v>
      </c>
      <c r="K45" s="15" t="s">
        <v>244</v>
      </c>
      <c r="L45" s="15" t="s">
        <v>19</v>
      </c>
      <c r="M45" s="16">
        <v>45574</v>
      </c>
      <c r="N45" s="17">
        <v>1321.61</v>
      </c>
      <c r="O45" s="18">
        <f t="shared" si="1"/>
        <v>18502.539999999997</v>
      </c>
      <c r="P45" s="18">
        <v>51095.03142076503</v>
      </c>
      <c r="Q45" s="18">
        <v>4376.4790163934422</v>
      </c>
      <c r="R45" s="18">
        <v>118944.9</v>
      </c>
      <c r="S45" s="18">
        <v>47621.410191780822</v>
      </c>
      <c r="T45" s="18">
        <f t="shared" si="0"/>
        <v>222037.82062893931</v>
      </c>
      <c r="U45" s="17">
        <v>19160.190055711559</v>
      </c>
      <c r="V45" s="18">
        <f t="shared" si="2"/>
        <v>202877.63057322777</v>
      </c>
    </row>
    <row r="46" spans="1:22" s="14" customFormat="1" ht="12" x14ac:dyDescent="0.25">
      <c r="A46" s="14" t="s">
        <v>245</v>
      </c>
      <c r="B46" s="15" t="s">
        <v>246</v>
      </c>
      <c r="C46" s="15" t="s">
        <v>247</v>
      </c>
      <c r="D46" s="15"/>
      <c r="E46" s="15"/>
      <c r="F46" s="15"/>
      <c r="G46" s="15"/>
      <c r="H46" s="15"/>
      <c r="I46" s="15" t="s">
        <v>33</v>
      </c>
      <c r="J46" s="15" t="s">
        <v>17</v>
      </c>
      <c r="K46" s="15" t="s">
        <v>248</v>
      </c>
      <c r="L46" s="15" t="s">
        <v>249</v>
      </c>
      <c r="M46" s="16">
        <v>45574</v>
      </c>
      <c r="N46" s="17">
        <v>1398.8</v>
      </c>
      <c r="O46" s="18">
        <f t="shared" si="1"/>
        <v>19583.2</v>
      </c>
      <c r="P46" s="18">
        <v>54079.289617486342</v>
      </c>
      <c r="Q46" s="18">
        <v>4632.0918032786885</v>
      </c>
      <c r="R46" s="18">
        <v>125892</v>
      </c>
      <c r="S46" s="18">
        <v>96390.733150684944</v>
      </c>
      <c r="T46" s="18">
        <f t="shared" si="0"/>
        <v>280994.11457144993</v>
      </c>
      <c r="U46" s="17">
        <v>23737.925089252454</v>
      </c>
      <c r="V46" s="18">
        <f t="shared" si="2"/>
        <v>257256.18948219749</v>
      </c>
    </row>
    <row r="47" spans="1:22" s="14" customFormat="1" ht="12" x14ac:dyDescent="0.25">
      <c r="A47" s="14" t="s">
        <v>250</v>
      </c>
      <c r="B47" s="15" t="s">
        <v>251</v>
      </c>
      <c r="C47" s="15" t="s">
        <v>252</v>
      </c>
      <c r="D47" s="15"/>
      <c r="E47" s="15"/>
      <c r="F47" s="15"/>
      <c r="G47" s="15"/>
      <c r="H47" s="15"/>
      <c r="I47" s="15" t="s">
        <v>253</v>
      </c>
      <c r="J47" s="15" t="s">
        <v>17</v>
      </c>
      <c r="K47" s="15" t="s">
        <v>254</v>
      </c>
      <c r="L47" s="15" t="s">
        <v>19</v>
      </c>
      <c r="M47" s="16">
        <v>45574</v>
      </c>
      <c r="N47" s="17">
        <v>1321.61</v>
      </c>
      <c r="O47" s="18">
        <f t="shared" si="1"/>
        <v>18502.539999999997</v>
      </c>
      <c r="P47" s="18">
        <v>51095.03142076503</v>
      </c>
      <c r="Q47" s="18">
        <v>4376.4790163934422</v>
      </c>
      <c r="R47" s="18">
        <v>118944.9</v>
      </c>
      <c r="S47" s="18">
        <v>47621.410191780822</v>
      </c>
      <c r="T47" s="18">
        <f t="shared" si="0"/>
        <v>222037.82062893931</v>
      </c>
      <c r="U47" s="17">
        <v>19160.190055711559</v>
      </c>
      <c r="V47" s="18">
        <f t="shared" si="2"/>
        <v>202877.63057322777</v>
      </c>
    </row>
    <row r="51" spans="1:23" s="8" customForma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9"/>
    </row>
    <row r="52" spans="1:23" s="8" customForma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9"/>
    </row>
    <row r="53" spans="1:23" s="8" customForma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9"/>
    </row>
    <row r="54" spans="1:23" s="8" customForma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9"/>
    </row>
    <row r="55" spans="1:23" s="8" customForma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9"/>
    </row>
    <row r="56" spans="1:23" s="8" customForma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9"/>
    </row>
    <row r="57" spans="1:23" s="8" customForma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9"/>
    </row>
    <row r="58" spans="1:23" s="8" customForma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9"/>
    </row>
    <row r="59" spans="1:23" s="8" customForma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9"/>
    </row>
    <row r="60" spans="1:23" s="8" customForma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9"/>
    </row>
    <row r="61" spans="1:23" s="8" customForma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9"/>
    </row>
    <row r="62" spans="1:23" s="8" customForma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9"/>
    </row>
    <row r="63" spans="1:23" s="8" customForma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9"/>
    </row>
    <row r="64" spans="1:23" s="8" customForma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9"/>
    </row>
    <row r="65" spans="1:23" s="8" customForma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9"/>
    </row>
    <row r="66" spans="1:23" s="8" customForma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9"/>
    </row>
    <row r="67" spans="1:23" s="8" customForma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9"/>
    </row>
    <row r="68" spans="1:23" s="8" customForma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9"/>
    </row>
    <row r="69" spans="1:23" s="8" customForma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9"/>
    </row>
    <row r="70" spans="1:23" s="10" customForma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9"/>
    </row>
    <row r="71" spans="1:23" s="8" customForma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9"/>
    </row>
    <row r="72" spans="1:23" s="8" customForma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9"/>
    </row>
    <row r="73" spans="1:23" s="8" customForma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9"/>
    </row>
    <row r="82" spans="16:18" x14ac:dyDescent="0.3">
      <c r="Q82" s="13"/>
      <c r="R82" s="13">
        <v>0</v>
      </c>
    </row>
    <row r="86" spans="16:18" x14ac:dyDescent="0.3">
      <c r="P86" s="11" t="s">
        <v>4</v>
      </c>
    </row>
    <row r="87" spans="16:18" x14ac:dyDescent="0.3">
      <c r="P87" s="11" t="s">
        <v>255</v>
      </c>
    </row>
    <row r="88" spans="16:18" x14ac:dyDescent="0.3">
      <c r="P88" s="11" t="s">
        <v>256</v>
      </c>
    </row>
    <row r="89" spans="16:18" x14ac:dyDescent="0.3">
      <c r="P89" s="11" t="s">
        <v>257</v>
      </c>
    </row>
    <row r="90" spans="16:18" x14ac:dyDescent="0.3">
      <c r="P90" s="11" t="s">
        <v>258</v>
      </c>
    </row>
    <row r="91" spans="16:18" x14ac:dyDescent="0.3">
      <c r="P91" s="11" t="s">
        <v>9</v>
      </c>
    </row>
    <row r="92" spans="16:18" x14ac:dyDescent="0.3">
      <c r="P92" s="11" t="s">
        <v>259</v>
      </c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ARACELY ALVAREZ</dc:creator>
  <cp:lastModifiedBy>nick</cp:lastModifiedBy>
  <cp:lastPrinted>2024-09-05T17:36:39Z</cp:lastPrinted>
  <dcterms:created xsi:type="dcterms:W3CDTF">2024-09-05T16:00:04Z</dcterms:created>
  <dcterms:modified xsi:type="dcterms:W3CDTF">2024-09-13T01:46:54Z</dcterms:modified>
</cp:coreProperties>
</file>